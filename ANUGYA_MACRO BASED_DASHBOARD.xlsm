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Sure Proed\Assignment\"/>
    </mc:Choice>
  </mc:AlternateContent>
  <xr:revisionPtr revIDLastSave="0" documentId="13_ncr:1_{D9907CE9-FF43-4423-AF91-1B3FAFE2ABE5}" xr6:coauthVersionLast="47" xr6:coauthVersionMax="47" xr10:uidLastSave="{00000000-0000-0000-0000-000000000000}"/>
  <bookViews>
    <workbookView xWindow="-108" yWindow="-108" windowWidth="23256" windowHeight="12456" activeTab="3" xr2:uid="{438353B7-391E-48AC-9A9C-75CC89839A6B}"/>
  </bookViews>
  <sheets>
    <sheet name="Sheet1 (2)" sheetId="2" r:id="rId1"/>
    <sheet name="Detail1" sheetId="9" r:id="rId2"/>
    <sheet name="Pivot Table" sheetId="1" r:id="rId3"/>
    <sheet name="Sheet6" sheetId="8" r:id="rId4"/>
  </sheets>
  <definedNames>
    <definedName name="_xleta.MIN" hidden="1" xlm="1">#NAME?</definedName>
    <definedName name="ExternalData_1" localSheetId="0" hidden="1">'Sheet1 (2)'!$B$1:$G$1027</definedName>
    <definedName name="Slicer_Month">#N/A</definedName>
    <definedName name="Slicer_Order_Date">#N/A</definedName>
    <definedName name="Slicer_Product_Category">#N/A</definedName>
    <definedName name="Slicer_Region">#N/A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I21" i="8" l="1"/>
  <c r="K4" i="2"/>
  <c r="AM30" i="8"/>
  <c r="AN26" i="8"/>
  <c r="AB5" i="8"/>
  <c r="AQ19" i="8"/>
  <c r="AM22"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D001967-7046-4842-9041-9E0D7E57D3DD}" keepAlive="1" name="Query - Sheet1" description="Connection to the 'Sheet1' query in the workbook." type="5" refreshedVersion="8" background="1" saveData="1">
    <dbPr connection="Provider=Microsoft.Mashup.OleDb.1;Data Source=$Workbook$;Location=Sheet1;Extended Properties=&quot;&quot;" command="SELECT * FROM [Sheet1]"/>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<sst xmlns="http://schemas.openxmlformats.org/spreadsheetml/2006/main" count="4588" uniqueCount="43">
  <si>
    <t>Income</t>
  </si>
  <si>
    <t>Region</t>
  </si>
  <si>
    <t>Sales</t>
  </si>
  <si>
    <t>Product Category</t>
  </si>
  <si>
    <t>Product Sub-Category</t>
  </si>
  <si>
    <t>Month</t>
  </si>
  <si>
    <t>Order_Date</t>
  </si>
  <si>
    <t>Europe</t>
  </si>
  <si>
    <t>Bike</t>
  </si>
  <si>
    <t>Handle Grips</t>
  </si>
  <si>
    <t>December</t>
  </si>
  <si>
    <t>Chain Sprocket</t>
  </si>
  <si>
    <t>March</t>
  </si>
  <si>
    <t>Disc Brake</t>
  </si>
  <si>
    <t>Pacific</t>
  </si>
  <si>
    <t>Car</t>
  </si>
  <si>
    <t>Alloy Wheels</t>
  </si>
  <si>
    <t>May</t>
  </si>
  <si>
    <t>Performance Exhaust</t>
  </si>
  <si>
    <t>January</t>
  </si>
  <si>
    <t>LED Headlights</t>
  </si>
  <si>
    <t>August</t>
  </si>
  <si>
    <t>Racing Exhaust</t>
  </si>
  <si>
    <t>June</t>
  </si>
  <si>
    <t>February</t>
  </si>
  <si>
    <t>Spoiler</t>
  </si>
  <si>
    <t>LED Indicators</t>
  </si>
  <si>
    <t>September</t>
  </si>
  <si>
    <t>October</t>
  </si>
  <si>
    <t>July</t>
  </si>
  <si>
    <t>April</t>
  </si>
  <si>
    <t>November</t>
  </si>
  <si>
    <t>Brake Kit</t>
  </si>
  <si>
    <t>North America</t>
  </si>
  <si>
    <t>Sum of Sales</t>
  </si>
  <si>
    <t>Row Labels</t>
  </si>
  <si>
    <t>Grand Total</t>
  </si>
  <si>
    <t>Pivot Table -3</t>
  </si>
  <si>
    <t>Pivot Table -2</t>
  </si>
  <si>
    <t>Pivot Table-1</t>
  </si>
  <si>
    <t>88888888888888++</t>
  </si>
  <si>
    <t>s</t>
  </si>
  <si>
    <t>Details for Sum of Sales - Product Sub-Category: Performance Exhaust, Product Category: Car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</si>
</sst>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49]\ #,##0.00"/>
  </numFmts>
  <fonts count="5" x14ac:knownFonts="1">
    <font>
      <sz val="11"/>
      <color theme="1"/>
      <name val="Aptos Narrow"/>
      <family val="2"/>
      <scheme val="minor"/>
    </font>
    <font>
      <sz val="16"/>
      <color theme="1"/>
      <name val="Aptos Narrow"/>
      <family val="2"/>
      <scheme val="minor"/>
    </font>
    <font>
      <b/>
      <sz val="11"/>
      <color theme="1"/>
      <name val="Aptos Narrow"/>
      <family val="2"/>
      <scheme val="minor"/>
    </font>
    <font>
      <sz val="11"/>
      <color theme="8" tint="-0.249977111117893"/>
      <name val="Aptos Narrow"/>
      <family val="2"/>
      <scheme val="minor"/>
    </font>
    <font>
      <sz val="11"/>
      <color rgb="FF023554"/>
      <name val="Aptos Narrow"/>
      <family val="2"/>
      <scheme val="minor"/>
    </font>
  </fonts>
  <fills count="11">
    <fill>
      <patternFill patternType="none"/>
    </fill>
    <fill>
      <patternFill patternType="gray125"/>
    </fill>
    <fill>
      <patternFill patternType="solid">
        <fgColor theme="5" tint="0.79998168889431442"/>
        <bgColor indexed="64"/>
      </patternFill>
    </fill>
    <fill>
      <patternFill patternType="solid">
        <fgColor theme="4" tint="0.59999389629810485"/>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3" tint="0.749992370372631"/>
        <bgColor indexed="64"/>
      </patternFill>
    </fill>
    <fill>
      <patternFill patternType="solid">
        <fgColor rgb="FF023554"/>
        <bgColor indexed="64"/>
      </patternFill>
    </fill>
    <fill>
      <patternFill patternType="solid">
        <fgColor theme="2" tint="-0.249977111117893"/>
        <bgColor indexed="64"/>
      </patternFill>
    </fill>
  </fills>
  <borders count="1">
    <border>
      <left/>
      <right/>
      <top/>
      <bottom/>
      <diagonal/>
    </border>
  </borders>
  <cellStyleXfs count="1">
    <xf numFmtId="0" fontId="0" fillId="0" borderId="0"/>
  </cellStyleXfs>
  <cellXfs count="24">
    <xf numFmtId="0" fontId="0" fillId="0" borderId="0" xfId="0"/>
    <xf numFmtId="0" fontId="0" fillId="0" borderId="0" xfId="0" applyAlignment="1">
      <alignment horizontal="center"/>
    </xf>
    <xf numFmtId="22" fontId="0" fillId="0" borderId="0" xfId="0" applyNumberFormat="1" applyAlignment="1">
      <alignment horizontal="center"/>
    </xf>
    <xf numFmtId="0" fontId="0" fillId="0" borderId="0" xfId="0" pivotButton="1"/>
    <xf numFmtId="0" fontId="0" fillId="0" borderId="0" xfId="0" applyAlignment="1">
      <alignment horizontal="left"/>
    </xf>
    <xf numFmtId="0" fontId="1" fillId="0" borderId="0" xfId="0" applyFont="1"/>
    <xf numFmtId="0" fontId="0" fillId="2" borderId="0" xfId="0" applyFill="1" applyAlignment="1">
      <alignment horizontal="center"/>
    </xf>
    <xf numFmtId="2" fontId="0" fillId="2" borderId="0" xfId="0" applyNumberFormat="1" applyFill="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5" borderId="0" xfId="0" applyFill="1" applyAlignment="1">
      <alignment horizontal="center"/>
    </xf>
    <xf numFmtId="2" fontId="0" fillId="5" borderId="0" xfId="0" applyNumberFormat="1" applyFill="1" applyAlignment="1">
      <alignment horizontal="center"/>
    </xf>
    <xf numFmtId="0" fontId="0" fillId="6" borderId="0" xfId="0" applyFill="1" applyAlignment="1">
      <alignment horizontal="center"/>
    </xf>
    <xf numFmtId="0" fontId="0" fillId="9" borderId="0" xfId="0" applyFill="1"/>
    <xf numFmtId="0" fontId="0" fillId="10" borderId="0" xfId="0" applyFill="1"/>
    <xf numFmtId="14" fontId="0" fillId="0" borderId="0" xfId="0" applyNumberFormat="1"/>
    <xf numFmtId="0" fontId="2" fillId="0" borderId="0" xfId="0" applyFont="1"/>
    <xf numFmtId="164" fontId="3" fillId="9" borderId="0" xfId="0" applyNumberFormat="1" applyFont="1" applyFill="1"/>
    <xf numFmtId="0" fontId="0" fillId="7" borderId="0" xfId="0" applyFill="1" applyAlignment="1">
      <alignment horizontal="center"/>
    </xf>
    <xf numFmtId="0" fontId="0" fillId="8" borderId="0" xfId="0" applyFill="1" applyAlignment="1">
      <alignment horizontal="center"/>
    </xf>
    <xf numFmtId="0" fontId="0" fillId="2" borderId="0" xfId="0" applyFill="1" applyAlignment="1">
      <alignment horizontal="center"/>
    </xf>
    <xf numFmtId="0" fontId="4" fillId="9" borderId="0" xfId="0" applyFont="1" applyFill="1"/>
    <xf numFmtId="0" fontId="0" fillId="0" borderId="0" xfId="0" applyNumberFormat="1"/>
  </cellXfs>
  <cellStyles count="1">
    <cellStyle name="Normal" xfId="0" builtinId="0"/>
  </cellStyles>
  <dxfs count="71">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5" tint="-0.249977111117893"/>
        </patternFill>
      </fill>
    </dxf>
    <dxf>
      <fill>
        <patternFill>
          <bgColor theme="4" tint="0.59999389629810485"/>
        </patternFill>
      </fill>
    </dxf>
    <dxf>
      <fill>
        <patternFill>
          <bgColor theme="4" tint="0.59999389629810485"/>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fill>
        <patternFill patternType="solid">
          <bgColor theme="5" tint="0.79998168889431442"/>
        </patternFill>
      </fill>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59999389629810485"/>
        </patternFill>
      </fill>
    </dxf>
    <dxf>
      <fill>
        <patternFill>
          <bgColor theme="5" tint="0.59999389629810485"/>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numFmt numFmtId="2" formatCode="0.00"/>
    </dxf>
    <dxf>
      <alignment horizontal="center"/>
    </dxf>
    <dxf>
      <alignment horizontal="center"/>
    </dxf>
    <dxf>
      <alignment horizontal="center"/>
    </dxf>
    <dxf>
      <alignment horizontal="center"/>
    </dxf>
    <dxf>
      <alignment horizontal="center"/>
    </dxf>
    <dxf>
      <alignment horizontal="center"/>
    </dxf>
    <dxf>
      <numFmt numFmtId="19" formatCode="m/d/yyyy"/>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7" formatCode="m/d/yyyy\ h:mm"/>
      <alignment horizontal="center" vertical="bottom" textRotation="0" wrapText="0" indent="0" justifyLastLine="0" shrinkToFit="0" readingOrder="0"/>
    </dxf>
    <dxf>
      <numFmt numFmtId="27" formatCode="m/d/yyyy\ 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gradientFill degree="45">
          <stop position="0">
            <color theme="9" tint="-0.49803155613879818"/>
          </stop>
          <stop position="1">
            <color rgb="FF023554"/>
          </stop>
        </gradientFill>
      </fill>
    </dxf>
    <dxf>
      <font>
        <sz val="11"/>
        <color theme="7" tint="0.39994506668294322"/>
      </font>
      <fill>
        <patternFill patternType="solid">
          <fgColor auto="1"/>
          <bgColor theme="9" tint="-0.499984740745262"/>
        </patternFill>
      </fill>
      <border diagonalUp="0" diagonalDown="0">
        <left/>
        <right/>
        <top/>
        <bottom/>
        <vertical/>
        <horizontal/>
      </border>
    </dxf>
    <dxf>
      <fill>
        <gradientFill>
          <stop position="0">
            <color rgb="FFFFFF00"/>
          </stop>
          <stop position="0.5">
            <color theme="4"/>
          </stop>
          <stop position="1">
            <color rgb="FFFFFF00"/>
          </stop>
        </gradientFill>
      </fill>
    </dxf>
    <dxf>
      <fill>
        <patternFill>
          <bgColor theme="9" tint="-0.499984740745262"/>
        </patternFill>
      </fill>
    </dxf>
    <dxf>
      <fill>
        <patternFill>
          <bgColor theme="9" tint="0.59996337778862885"/>
        </patternFill>
      </fill>
    </dxf>
    <dxf>
      <font>
        <color rgb="FF92D050"/>
      </font>
      <fill>
        <gradientFill>
          <stop position="0">
            <color theme="3" tint="0.25098422193060094"/>
          </stop>
          <stop position="1">
            <color rgb="FFFFFF00"/>
          </stop>
        </gradientFill>
      </fill>
    </dxf>
    <dxf>
      <fill>
        <patternFill patternType="solid">
          <fgColor theme="3" tint="0.24994659260841701"/>
          <bgColor rgb="FF0070C0"/>
        </patternFill>
      </fill>
    </dxf>
    <dxf>
      <fill>
        <patternFill>
          <bgColor theme="7" tint="-0.24994659260841701"/>
        </patternFill>
      </fill>
    </dxf>
    <dxf>
      <fill>
        <gradientFill>
          <stop position="0">
            <color rgb="FFFFFF00"/>
          </stop>
          <stop position="1">
            <color theme="9" tint="-0.49803155613879818"/>
          </stop>
        </gradientFill>
      </fill>
      <border diagonalUp="0" diagonalDown="0">
        <left/>
        <right/>
        <top/>
        <bottom/>
        <vertical/>
        <horizontal/>
      </border>
    </dxf>
  </dxfs>
  <tableStyles count="11" defaultTableStyle="TableStyleMedium2" defaultPivotStyle="PivotStyleLight16">
    <tableStyle name="Invisible" pivot="0" table="0" count="0" xr9:uid="{6B0A8EF1-85DF-494C-BF81-70952BA20AF5}"/>
    <tableStyle name="Slicer Style 1" pivot="0" table="0" count="0" xr9:uid="{3692BF94-D5FB-438E-8FE8-0B336FEB6F44}"/>
    <tableStyle name="Slicer Style 10" pivot="0" table="0" count="9" xr9:uid="{61D96C4C-FDDF-456B-8962-5CC013EFF710}">
      <tableStyleElement type="headerRow" dxfId="70"/>
    </tableStyle>
    <tableStyle name="Slicer Style 2" pivot="0" table="0" count="1" xr9:uid="{44AF9831-8F81-440A-A17D-C6FF31912788}">
      <tableStyleElement type="headerRow" dxfId="69"/>
    </tableStyle>
    <tableStyle name="Slicer Style 3" pivot="0" table="0" count="1" xr9:uid="{E1D78337-76D3-4DA0-BD48-FDC79135447C}">
      <tableStyleElement type="headerRow" dxfId="68"/>
    </tableStyle>
    <tableStyle name="Slicer Style 4" pivot="0" table="0" count="1" xr9:uid="{C39704FB-A80B-4E74-8289-3417678241C8}"/>
    <tableStyle name="Slicer Style 5" pivot="0" table="0" count="1" xr9:uid="{E7EA8445-311F-4B6D-A8B2-93DE3FE6C8CB}"/>
    <tableStyle name="Slicer Style 6" pivot="0" table="0" count="2" xr9:uid="{BAD48761-DBB0-439F-94B0-382ED2FF87B7}">
      <tableStyleElement type="wholeTable" dxfId="67"/>
      <tableStyleElement type="headerRow" dxfId="66"/>
    </tableStyle>
    <tableStyle name="Slicer Style 7" pivot="0" table="0" count="3" xr9:uid="{E0385BF9-B580-485A-826D-CF57E3643A38}">
      <tableStyleElement type="headerRow" dxfId="65"/>
    </tableStyle>
    <tableStyle name="Slicer Style 8" pivot="0" table="0" count="3" xr9:uid="{8495B8B0-B1CC-4861-ADD0-A67872EDAD9D}">
      <tableStyleElement type="wholeTable" dxfId="64"/>
    </tableStyle>
    <tableStyle name="Slicer Style 9" pivot="0" table="0" count="5" xr9:uid="{C71EE4C3-4C17-4DDC-B1C2-9C993512F91C}">
      <tableStyleElement type="wholeTable" dxfId="63"/>
      <tableStyleElement type="headerRow" dxfId="62"/>
    </tableStyle>
  </tableStyles>
  <colors>
    <mruColors>
      <color rgb="FF023554"/>
      <color rgb="FF081B2A"/>
      <color rgb="FF0D3512"/>
      <color rgb="FF000000"/>
      <color rgb="FF008000"/>
      <color rgb="FF9AD7F0"/>
      <color rgb="FFFF5050"/>
      <color rgb="FF015253"/>
    </mruColors>
  </colors>
  <extLst>
    <ext xmlns:x14="http://schemas.microsoft.com/office/spreadsheetml/2009/9/main" uri="{46F421CA-312F-682f-3DD2-61675219B42D}">
      <x14:dxfs count="17">
        <dxf>
          <fill>
            <gradientFill>
              <stop position="0">
                <color rgb="FFFFFF00"/>
              </stop>
              <stop position="1">
                <color theme="4"/>
              </stop>
            </gradientFill>
          </fill>
        </dxf>
        <dxf>
          <fill>
            <gradientFill>
              <stop position="0">
                <color theme="1"/>
              </stop>
              <stop position="1">
                <color theme="9" tint="-0.49803155613879818"/>
              </stop>
            </gradientFill>
          </fill>
        </dxf>
        <dxf>
          <fill>
            <gradientFill>
              <stop position="0">
                <color rgb="FFFFFF00"/>
              </stop>
              <stop position="1">
                <color theme="4"/>
              </stop>
            </gradientFill>
          </fill>
        </dxf>
        <dxf>
          <fill>
            <gradientFill degree="90">
              <stop position="0">
                <color theme="9" tint="-0.49803155613879818"/>
              </stop>
              <stop position="1">
                <color rgb="FFFFFF00"/>
              </stop>
            </gradientFill>
          </fill>
        </dxf>
        <dxf>
          <fill>
            <gradientFill>
              <stop position="0">
                <color rgb="FFFFFF00"/>
              </stop>
              <stop position="1">
                <color theme="4"/>
              </stop>
            </gradientFill>
          </fill>
        </dxf>
        <dxf>
          <fill>
            <patternFill>
              <bgColor theme="9" tint="-0.24994659260841701"/>
            </patternFill>
          </fill>
        </dxf>
        <dxf>
          <fill>
            <gradientFill>
              <stop position="0">
                <color rgb="FFFFFF00"/>
              </stop>
              <stop position="1">
                <color theme="4"/>
              </stop>
            </gradientFill>
          </fill>
        </dxf>
        <dxf>
          <font>
            <color theme="6" tint="-0.24994659260841701"/>
          </font>
        </dxf>
        <dxf>
          <fill>
            <patternFill>
              <fgColor theme="4" tint="-0.24994659260841701"/>
            </patternFill>
          </fill>
        </dxf>
        <dxf>
          <fill>
            <gradientFill>
              <stop position="0">
                <color rgb="FFFFFF00"/>
              </stop>
              <stop position="1">
                <color theme="9" tint="-0.49803155613879818"/>
              </stop>
            </gradientFill>
          </fill>
        </dxf>
        <dxf>
          <fill>
            <gradientFill>
              <stop position="0">
                <color rgb="FFFFFF00"/>
              </stop>
              <stop position="1">
                <color theme="9" tint="-0.49803155613879818"/>
              </stop>
            </gradientFill>
          </fill>
          <border diagonalUp="0" diagonalDown="0">
            <left/>
            <right/>
            <top/>
            <bottom/>
            <vertical/>
            <horizontal/>
          </border>
        </dxf>
        <dxf>
          <fill>
            <gradientFill>
              <stop position="0">
                <color rgb="FFFFFF00"/>
              </stop>
              <stop position="1">
                <color theme="9" tint="-0.49803155613879818"/>
              </stop>
            </gradientFill>
          </fill>
        </dxf>
        <dxf>
          <fill>
            <gradientFill>
              <stop position="0">
                <color rgb="FFFFFF00"/>
              </stop>
              <stop position="1">
                <color theme="9" tint="-0.49803155613879818"/>
              </stop>
            </gradientFill>
          </fill>
        </dxf>
        <dxf>
          <fill>
            <gradientFill>
              <stop position="0">
                <color rgb="FFFFFF00"/>
              </stop>
              <stop position="1">
                <color theme="9" tint="-0.49803155613879818"/>
              </stop>
            </gradientFill>
          </fill>
        </dxf>
        <dxf>
          <fill>
            <gradientFill>
              <stop position="0">
                <color rgb="FFFFFF00"/>
              </stop>
              <stop position="1">
                <color theme="9" tint="-0.49803155613879818"/>
              </stop>
            </gradientFill>
          </fill>
        </dxf>
        <dxf>
          <fill>
            <gradientFill>
              <stop position="0">
                <color rgb="FFFFFF00"/>
              </stop>
              <stop position="1">
                <color theme="9" tint="-0.49803155613879818"/>
              </stop>
            </gradientFill>
          </fill>
        </dxf>
        <dxf>
          <fill>
            <gradientFill>
              <stop position="0">
                <color rgb="FFFFFF00"/>
              </stop>
              <stop position="1">
                <color theme="9" tint="-0.49803155613879818"/>
              </stop>
            </gradientFill>
          </fill>
        </dxf>
      </x14:dxfs>
    </ext>
    <ext xmlns:x14="http://schemas.microsoft.com/office/spreadsheetml/2009/9/main" uri="{EB79DEF2-80B8-43e5-95BD-54CBDDF9020C}">
      <x14:slicerStyles defaultSlicerStyle="Slicer Style 5">
        <x14:slicerStyle name="Slicer Style 1"/>
        <x14:slicerStyle name="Slicer Style 10">
          <x14:slicerStyleElements>
            <x14:slicerStyleElement type="unselectedItemWithData" dxfId="16"/>
            <x14:slicerStyleElement type="unselectedItemWithNoData" dxfId="15"/>
            <x14:slicerStyleElement type="selectedItemWithData" dxfId="14"/>
            <x14:slicerStyleElement type="selectedItemWithNoData" dxfId="13"/>
            <x14:slicerStyleElement type="hoveredUnselectedItemWithData" dxfId="12"/>
            <x14:slicerStyleElement type="hoveredSelectedItemWithData" dxfId="11"/>
            <x14:slicerStyleElement type="hoveredUnselectedItemWithNoData" dxfId="10"/>
            <x14:slicerStyleElement type="hoveredSelectedItemWithNoData" dxfId="9"/>
          </x14:slicerStyleElements>
        </x14:slicerStyle>
        <x14:slicerStyle name="Slicer Style 2"/>
        <x14:slicerStyle name="Slicer Style 3"/>
        <x14:slicerStyle name="Slicer Style 4">
          <x14:slicerStyleElements>
            <x14:slicerStyleElement type="selectedItemWithData" dxfId="8"/>
          </x14:slicerStyleElements>
        </x14:slicerStyle>
        <x14:slicerStyle name="Slicer Style 5">
          <x14:slicerStyleElements>
            <x14:slicerStyleElement type="selectedItemWithData" dxfId="7"/>
          </x14:slicerStyleElements>
        </x14:slicerStyle>
        <x14:slicerStyle name="Slicer Style 6"/>
        <x14:slicerStyle name="Slicer Style 7">
          <x14:slicerStyleElements>
            <x14:slicerStyleElement type="selectedItemWithData" dxfId="6"/>
            <x14:slicerStyleElement type="selectedItemWithNoData" dxfId="5"/>
          </x14:slicerStyleElements>
        </x14:slicerStyle>
        <x14:slicerStyle name="Slicer Style 8">
          <x14:slicerStyleElements>
            <x14:slicerStyleElement type="unselectedItemWithData" dxfId="4"/>
            <x14:slicerStyleElement type="unselectedItemWithNoData" dxfId="3"/>
          </x14:slicerStyleElements>
        </x14:slicerStyle>
        <x14:slicerStyle name="Slicer Style 9">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18"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onnections" Target="connections.xml"/><Relationship Id="rId5" Type="http://schemas.openxmlformats.org/officeDocument/2006/relationships/pivotCacheDefinition" Target="pivotCache/pivotCacheDefinition1.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[ANUGYA_MACRO BASED_DASHBOARD.xlsm]Pivot Table!PivotTable2</c:name>
    <c:fmtId val="18"/>
  </c:pivotSource>
  <c:chart>
    <c:autoTitleDeleted val="1"/>
    <c:pivotFmts>
      <c:pivotFmt>
        <c:idx val="0"/>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rgbClr val="9AD7F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dLbl>
          <c:idx val="0"/>
          <c:layout>
            <c:manualLayout>
              <c:x val="-1.2345679012345697E-2"/>
              <c:y val="3.8986354775828458E-3"/>
            </c:manualLayout>
          </c:layout>
          <c:spPr>
            <a:noFill/>
            <a:ln>
              <a:noFill/>
            </a:ln>
            <a:effectLst/>
          </c:spPr>
          <c:txPr>
            <a:bodyPr rot="0" spcFirstLastPara="1" vertOverflow="ellipsis" vert="horz" wrap="square" anchor="ctr" anchorCtr="1"/>
            <a:lstStyle/>
            <a:p>
              <a:pPr>
                <a:defRPr sz="900" b="0" i="0" u="none" strike="noStrike" kern="1200" baseline="0">
                  <a:solidFill>
                    <a:srgbClr val="9AD7F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dLbl>
          <c:idx val="0"/>
          <c:layout>
            <c:manualLayout>
              <c:x val="2.0576131687242798E-2"/>
              <c:y val="-5.0682261208576995E-2"/>
            </c:manualLayout>
          </c:layout>
          <c:spPr>
            <a:noFill/>
            <a:ln>
              <a:noFill/>
            </a:ln>
            <a:effectLst/>
          </c:spPr>
          <c:txPr>
            <a:bodyPr rot="0" spcFirstLastPara="1" vertOverflow="ellipsis" vert="horz" wrap="square" anchor="ctr" anchorCtr="1"/>
            <a:lstStyle/>
            <a:p>
              <a:pPr>
                <a:defRPr sz="900" b="0" i="0" u="none" strike="noStrike" kern="1200" baseline="0">
                  <a:solidFill>
                    <a:srgbClr val="9AD7F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dLbl>
          <c:idx val="0"/>
          <c:layout>
            <c:manualLayout>
              <c:x val="2.1604938271604937E-2"/>
              <c:y val="-4.4834307992202747E-2"/>
            </c:manualLayout>
          </c:layout>
          <c:spPr>
            <a:noFill/>
            <a:ln>
              <a:noFill/>
            </a:ln>
            <a:effectLst/>
          </c:spPr>
          <c:txPr>
            <a:bodyPr rot="0" spcFirstLastPara="1" vertOverflow="ellipsis" vert="horz" wrap="square" anchor="ctr" anchorCtr="1"/>
            <a:lstStyle/>
            <a:p>
              <a:pPr>
                <a:defRPr sz="900" b="0" i="0" u="none" strike="noStrike" kern="1200" baseline="0">
                  <a:solidFill>
                    <a:srgbClr val="9AD7F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9.8395061728395058E-2"/>
                  <c:h val="5.8421206121164679E-2"/>
                </c:manualLayout>
              </c15:layout>
            </c:ext>
          </c:extLst>
        </c:dLbl>
      </c:pivotFmt>
      <c:pivotFmt>
        <c:idx val="4"/>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pivotFmt>
      <c:pivotFmt>
        <c:idx val="5"/>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dLbl>
          <c:idx val="0"/>
          <c:layout>
            <c:manualLayout>
              <c:x val="-6.1728395061729146E-3"/>
              <c:y val="-7.0175438596491252E-2"/>
            </c:manualLayout>
          </c:layout>
          <c:spPr>
            <a:noFill/>
            <a:ln>
              <a:noFill/>
            </a:ln>
            <a:effectLst/>
          </c:spPr>
          <c:txPr>
            <a:bodyPr rot="0" spcFirstLastPara="1" vertOverflow="ellipsis" vert="horz" wrap="square" anchor="ctr" anchorCtr="1"/>
            <a:lstStyle/>
            <a:p>
              <a:pPr>
                <a:defRPr sz="900" b="0" i="0" u="none" strike="noStrike" kern="1200" baseline="0">
                  <a:solidFill>
                    <a:srgbClr val="9AD7F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dLbl>
          <c:idx val="0"/>
          <c:layout>
            <c:manualLayout>
              <c:x val="2.0576131687242798E-2"/>
              <c:y val="-7.7972709551656916E-3"/>
            </c:manualLayout>
          </c:layout>
          <c:spPr>
            <a:noFill/>
            <a:ln>
              <a:noFill/>
            </a:ln>
            <a:effectLst/>
          </c:spPr>
          <c:txPr>
            <a:bodyPr rot="0" spcFirstLastPara="1" vertOverflow="ellipsis" vert="horz" wrap="square" anchor="ctr" anchorCtr="1"/>
            <a:lstStyle/>
            <a:p>
              <a:pPr>
                <a:defRPr sz="900" b="0" i="0" u="none" strike="noStrike" kern="1200" baseline="0">
                  <a:solidFill>
                    <a:srgbClr val="9AD7F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dLbl>
          <c:idx val="0"/>
          <c:layout>
            <c:manualLayout>
              <c:x val="7.4074074074073917E-2"/>
              <c:y val="-3.5737079040056123E-17"/>
            </c:manualLayout>
          </c:layout>
          <c:spPr>
            <a:noFill/>
            <a:ln>
              <a:noFill/>
            </a:ln>
            <a:effectLst/>
          </c:spPr>
          <c:txPr>
            <a:bodyPr rot="0" spcFirstLastPara="1" vertOverflow="ellipsis" vert="horz" wrap="square" anchor="ctr" anchorCtr="1"/>
            <a:lstStyle/>
            <a:p>
              <a:pPr>
                <a:defRPr sz="900" b="0" i="0" u="none" strike="noStrike" kern="1200" baseline="0">
                  <a:solidFill>
                    <a:srgbClr val="9AD7F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dLbl>
          <c:idx val="0"/>
          <c:layout>
            <c:manualLayout>
              <c:x val="1.4403292181069883E-2"/>
              <c:y val="-6.6276803118908378E-2"/>
            </c:manualLayout>
          </c:layout>
          <c:spPr>
            <a:noFill/>
            <a:ln>
              <a:noFill/>
            </a:ln>
            <a:effectLst/>
          </c:spPr>
          <c:txPr>
            <a:bodyPr rot="0" spcFirstLastPara="1" vertOverflow="ellipsis" vert="horz" wrap="square" anchor="ctr" anchorCtr="1"/>
            <a:lstStyle/>
            <a:p>
              <a:pPr>
                <a:defRPr sz="900" b="0" i="0" u="none" strike="noStrike" kern="1200" baseline="0">
                  <a:solidFill>
                    <a:srgbClr val="9AD7F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rgbClr val="9AD7F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dLbl>
          <c:idx val="0"/>
          <c:layout>
            <c:manualLayout>
              <c:x val="-1.2345679012345697E-2"/>
              <c:y val="3.8986354775828458E-3"/>
            </c:manualLayout>
          </c:layout>
          <c:spPr>
            <a:noFill/>
            <a:ln>
              <a:noFill/>
            </a:ln>
            <a:effectLst/>
          </c:spPr>
          <c:txPr>
            <a:bodyPr rot="0" spcFirstLastPara="1" vertOverflow="ellipsis" vert="horz" wrap="square" anchor="ctr" anchorCtr="1"/>
            <a:lstStyle/>
            <a:p>
              <a:pPr>
                <a:defRPr sz="900" b="0" i="0" u="none" strike="noStrike" kern="1200" baseline="0">
                  <a:solidFill>
                    <a:srgbClr val="9AD7F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dLbl>
          <c:idx val="0"/>
          <c:layout>
            <c:manualLayout>
              <c:x val="2.0576131687242798E-2"/>
              <c:y val="-5.0682261208576995E-2"/>
            </c:manualLayout>
          </c:layout>
          <c:spPr>
            <a:noFill/>
            <a:ln>
              <a:noFill/>
            </a:ln>
            <a:effectLst/>
          </c:spPr>
          <c:txPr>
            <a:bodyPr rot="0" spcFirstLastPara="1" vertOverflow="ellipsis" vert="horz" wrap="square" anchor="ctr" anchorCtr="1"/>
            <a:lstStyle/>
            <a:p>
              <a:pPr>
                <a:defRPr sz="900" b="0" i="0" u="none" strike="noStrike" kern="1200" baseline="0">
                  <a:solidFill>
                    <a:srgbClr val="9AD7F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dLbl>
          <c:idx val="0"/>
          <c:layout>
            <c:manualLayout>
              <c:x val="2.1604938271604937E-2"/>
              <c:y val="-4.4834307992202747E-2"/>
            </c:manualLayout>
          </c:layout>
          <c:spPr>
            <a:noFill/>
            <a:ln>
              <a:noFill/>
            </a:ln>
            <a:effectLst/>
          </c:spPr>
          <c:txPr>
            <a:bodyPr rot="0" spcFirstLastPara="1" vertOverflow="ellipsis" vert="horz" wrap="square" anchor="ctr" anchorCtr="1"/>
            <a:lstStyle/>
            <a:p>
              <a:pPr>
                <a:defRPr sz="900" b="0" i="0" u="none" strike="noStrike" kern="1200" baseline="0">
                  <a:solidFill>
                    <a:srgbClr val="9AD7F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9.8395061728395058E-2"/>
                  <c:h val="5.8421206121164679E-2"/>
                </c:manualLayout>
              </c15:layout>
            </c:ext>
          </c:extLst>
        </c:dLbl>
      </c:pivotFmt>
      <c:pivotFmt>
        <c:idx val="13"/>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dLbl>
          <c:idx val="0"/>
          <c:layout>
            <c:manualLayout>
              <c:x val="1.4403292181069883E-2"/>
              <c:y val="-6.6276803118908378E-2"/>
            </c:manualLayout>
          </c:layout>
          <c:spPr>
            <a:noFill/>
            <a:ln>
              <a:noFill/>
            </a:ln>
            <a:effectLst/>
          </c:spPr>
          <c:txPr>
            <a:bodyPr rot="0" spcFirstLastPara="1" vertOverflow="ellipsis" vert="horz" wrap="square" anchor="ctr" anchorCtr="1"/>
            <a:lstStyle/>
            <a:p>
              <a:pPr>
                <a:defRPr sz="900" b="0" i="0" u="none" strike="noStrike" kern="1200" baseline="0">
                  <a:solidFill>
                    <a:srgbClr val="9AD7F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dLbl>
          <c:idx val="0"/>
          <c:layout>
            <c:manualLayout>
              <c:x val="-6.1728395061729146E-3"/>
              <c:y val="-7.0175438596491252E-2"/>
            </c:manualLayout>
          </c:layout>
          <c:spPr>
            <a:noFill/>
            <a:ln>
              <a:noFill/>
            </a:ln>
            <a:effectLst/>
          </c:spPr>
          <c:txPr>
            <a:bodyPr rot="0" spcFirstLastPara="1" vertOverflow="ellipsis" vert="horz" wrap="square" anchor="ctr" anchorCtr="1"/>
            <a:lstStyle/>
            <a:p>
              <a:pPr>
                <a:defRPr sz="900" b="0" i="0" u="none" strike="noStrike" kern="1200" baseline="0">
                  <a:solidFill>
                    <a:srgbClr val="9AD7F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dLbl>
          <c:idx val="0"/>
          <c:layout>
            <c:manualLayout>
              <c:x val="2.0576131687242798E-2"/>
              <c:y val="-7.7972709551656916E-3"/>
            </c:manualLayout>
          </c:layout>
          <c:spPr>
            <a:noFill/>
            <a:ln>
              <a:noFill/>
            </a:ln>
            <a:effectLst/>
          </c:spPr>
          <c:txPr>
            <a:bodyPr rot="0" spcFirstLastPara="1" vertOverflow="ellipsis" vert="horz" wrap="square" anchor="ctr" anchorCtr="1"/>
            <a:lstStyle/>
            <a:p>
              <a:pPr>
                <a:defRPr sz="900" b="0" i="0" u="none" strike="noStrike" kern="1200" baseline="0">
                  <a:solidFill>
                    <a:srgbClr val="9AD7F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dLbl>
          <c:idx val="0"/>
          <c:layout>
            <c:manualLayout>
              <c:x val="7.4074074074073917E-2"/>
              <c:y val="-3.5737079040056123E-17"/>
            </c:manualLayout>
          </c:layout>
          <c:spPr>
            <a:noFill/>
            <a:ln>
              <a:noFill/>
            </a:ln>
            <a:effectLst/>
          </c:spPr>
          <c:txPr>
            <a:bodyPr rot="0" spcFirstLastPara="1" vertOverflow="ellipsis" vert="horz" wrap="square" anchor="ctr" anchorCtr="1"/>
            <a:lstStyle/>
            <a:p>
              <a:pPr>
                <a:defRPr sz="900" b="0" i="0" u="none" strike="noStrike" kern="1200" baseline="0">
                  <a:solidFill>
                    <a:srgbClr val="9AD7F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pivotFmt>
      <c:pivotFmt>
        <c:idx val="19"/>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pivotFmt>
      <c:pivotFmt>
        <c:idx val="20"/>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pivotFmt>
      <c:pivotFmt>
        <c:idx val="21"/>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pivotFmt>
      <c:pivotFmt>
        <c:idx val="22"/>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pivotFmt>
      <c:pivotFmt>
        <c:idx val="23"/>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pivotFmt>
      <c:pivotFmt>
        <c:idx val="24"/>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pivotFmt>
    </c:pivotFmts>
    <c:plotArea>
      <c:layout/>
      <c:barChart>
        <c:barDir val="col"/>
        <c:grouping val="clustered"/>
        <c:varyColors val="0"/>
        <c:ser>
          <c:idx val="0"/>
          <c:order val="0"/>
          <c:tx>
            <c:strRef>
              <c:f>'Pivot Table'!$B$2</c:f>
              <c:strCache>
                <c:ptCount val="1"/>
                <c:pt idx="0">
                  <c:v>Total</c:v>
                </c:pt>
              </c:strCache>
            </c:strRef>
          </c:tx>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invertIfNegative val="0"/>
          <c:dPt>
            <c:idx val="1"/>
            <c:invertIfNegative val="0"/>
            <c:bubble3D val="0"/>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0-0884-41A4-A33C-4617DE2A42C0}"/>
              </c:ext>
            </c:extLst>
          </c:dPt>
          <c:dPt>
            <c:idx val="3"/>
            <c:invertIfNegative val="0"/>
            <c:bubble3D val="0"/>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884-41A4-A33C-4617DE2A42C0}"/>
              </c:ext>
            </c:extLst>
          </c:dPt>
          <c:dPt>
            <c:idx val="4"/>
            <c:invertIfNegative val="0"/>
            <c:bubble3D val="0"/>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0884-41A4-A33C-4617DE2A42C0}"/>
              </c:ext>
            </c:extLst>
          </c:dPt>
          <c:dPt>
            <c:idx val="5"/>
            <c:invertIfNegative val="0"/>
            <c:bubble3D val="0"/>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884-41A4-A33C-4617DE2A42C0}"/>
              </c:ext>
            </c:extLst>
          </c:dPt>
          <c:dPt>
            <c:idx val="7"/>
            <c:invertIfNegative val="0"/>
            <c:bubble3D val="0"/>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0884-41A4-A33C-4617DE2A42C0}"/>
              </c:ext>
            </c:extLst>
          </c:dPt>
          <c:dPt>
            <c:idx val="8"/>
            <c:invertIfNegative val="0"/>
            <c:bubble3D val="0"/>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884-41A4-A33C-4617DE2A42C0}"/>
              </c:ext>
            </c:extLst>
          </c:dPt>
          <c:dPt>
            <c:idx val="9"/>
            <c:invertIfNegative val="0"/>
            <c:bubble3D val="0"/>
            <c:spPr>
              <a:gradFill rotWithShape="1">
                <a:gsLst>
                  <a:gs pos="1000">
                    <a:schemeClr val="accent6">
                      <a:lumMod val="60000"/>
                      <a:lumOff val="40000"/>
                    </a:schemeClr>
                  </a:gs>
                  <a:gs pos="46000">
                    <a:schemeClr val="accent3">
                      <a:lumMod val="50000"/>
                    </a:schemeClr>
                  </a:gs>
                  <a:gs pos="31000">
                    <a:schemeClr val="accent1">
                      <a:lumMod val="45000"/>
                      <a:lumOff val="55000"/>
                    </a:schemeClr>
                  </a:gs>
                  <a:gs pos="71000">
                    <a:srgbClr val="FFC000"/>
                  </a:gs>
                </a:gsLst>
                <a:lin ang="5400000" scaled="1"/>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0884-41A4-A33C-4617DE2A42C0}"/>
              </c:ext>
            </c:extLst>
          </c:dPt>
          <c:trendline>
            <c:spPr>
              <a:ln w="25400" cap="rnd">
                <a:solidFill>
                  <a:srgbClr val="7030A0"/>
                </a:solidFill>
              </a:ln>
              <a:effectLst/>
            </c:spPr>
            <c:trendlineType val="movingAvg"/>
            <c:period val="2"/>
            <c:dispRSqr val="0"/>
            <c:dispEq val="0"/>
          </c:trendline>
          <c:cat>
            <c:multiLvlStrRef>
              <c:f>'Pivot Table'!$A$3:$A$15</c:f>
              <c:multiLvlStrCache>
                <c:ptCount val="10"/>
                <c:lvl>
                  <c:pt idx="0">
                    <c:v>Chain Sprocket</c:v>
                  </c:pt>
                  <c:pt idx="1">
                    <c:v>Disc Brake</c:v>
                  </c:pt>
                  <c:pt idx="2">
                    <c:v>Handle Grips</c:v>
                  </c:pt>
                  <c:pt idx="3">
                    <c:v>LED Indicators</c:v>
                  </c:pt>
                  <c:pt idx="4">
                    <c:v>Racing Exhaust</c:v>
                  </c:pt>
                  <c:pt idx="5">
                    <c:v>Alloy Wheels</c:v>
                  </c:pt>
                  <c:pt idx="6">
                    <c:v>Brake Kit</c:v>
                  </c:pt>
                  <c:pt idx="7">
                    <c:v>LED Headlights</c:v>
                  </c:pt>
                  <c:pt idx="8">
                    <c:v>Performance Exhaust</c:v>
                  </c:pt>
                  <c:pt idx="9">
                    <c:v>Spoiler</c:v>
                  </c:pt>
                </c:lvl>
                <c:lvl>
                  <c:pt idx="0">
                    <c:v>Bike</c:v>
                  </c:pt>
                  <c:pt idx="5">
                    <c:v>Car</c:v>
                  </c:pt>
                </c:lvl>
              </c:multiLvlStrCache>
            </c:multiLvlStrRef>
          </c:cat>
          <c:val>
            <c:numRef>
              <c:f>'Pivot Table'!$B$3:$B$15</c:f>
              <c:numCache>
                <c:formatCode>0.00</c:formatCode>
                <c:ptCount val="10"/>
                <c:pt idx="0">
                  <c:v>465952.29</c:v>
                </c:pt>
                <c:pt idx="1">
                  <c:v>527310.44000000006</c:v>
                </c:pt>
                <c:pt idx="2">
                  <c:v>611727.03</c:v>
                </c:pt>
                <c:pt idx="3">
                  <c:v>535950.77000000014</c:v>
                </c:pt>
                <c:pt idx="4">
                  <c:v>497317.47000000009</c:v>
                </c:pt>
                <c:pt idx="5">
                  <c:v>433808.16000000009</c:v>
                </c:pt>
                <c:pt idx="6">
                  <c:v>621178.91999999993</c:v>
                </c:pt>
                <c:pt idx="7">
                  <c:v>503520.17</c:v>
                </c:pt>
                <c:pt idx="8">
                  <c:v>550525.50000000012</c:v>
                </c:pt>
                <c:pt idx="9">
                  <c:v>467477.17000000016</c:v>
                </c:pt>
              </c:numCache>
            </c:numRef>
          </c:val>
          <c:extLst>
            <c:ext xmlns:c16="http://schemas.microsoft.com/office/drawing/2014/chart" uri="{C3380CC4-5D6E-409C-BE32-E72D297353CC}">
              <c16:uniqueId val="{00000008-0884-41A4-A33C-4617DE2A42C0}"/>
            </c:ext>
          </c:extLst>
        </c:ser>
        <c:dLbls>
          <c:showLegendKey val="0"/>
          <c:showVal val="0"/>
          <c:showCatName val="0"/>
          <c:showSerName val="0"/>
          <c:showPercent val="0"/>
          <c:showBubbleSize val="0"/>
        </c:dLbls>
        <c:gapWidth val="100"/>
        <c:overlap val="-24"/>
        <c:axId val="992751760"/>
        <c:axId val="992753680"/>
      </c:barChart>
      <c:catAx>
        <c:axId val="99275176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endParaRPr lang="en-US"/>
          </a:p>
        </c:txPr>
        <c:crossAx val="992753680"/>
        <c:crosses val="autoZero"/>
        <c:auto val="1"/>
        <c:lblAlgn val="ctr"/>
        <c:lblOffset val="100"/>
        <c:noMultiLvlLbl val="0"/>
      </c:catAx>
      <c:valAx>
        <c:axId val="992753680"/>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992751760"/>
        <c:crosses val="autoZero"/>
        <c:crossBetween val="between"/>
      </c:valAx>
      <c:spPr>
        <a:noFill/>
        <a:ln>
          <a:noFill/>
        </a:ln>
        <a:effectLst/>
      </c:spPr>
    </c:plotArea>
    <c:legend>
      <c:legendPos val="r"/>
      <c:layout>
        <c:manualLayout>
          <c:xMode val="edge"/>
          <c:yMode val="edge"/>
          <c:x val="0.81544681203969838"/>
          <c:y val="0.15556552179724281"/>
          <c:w val="0.18252892721382208"/>
          <c:h val="0.722001063860040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5875" cap="flat" cmpd="sng" algn="ctr">
      <a:noFill/>
      <a:prstDash val="solid"/>
      <a:miter lim="800000"/>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[ANUGYA_MACRO BASED_DASHBOARD.xlsm]Pivot Table!PivotTable2</c:name>
    <c:fmtId val="2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dLbl>
          <c:idx val="0"/>
          <c:layout>
            <c:manualLayout>
              <c:x val="1.9995611765972632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
        <c:idx val="17"/>
        <c:spPr>
          <a:solidFill>
            <a:schemeClr val="accent1"/>
          </a:solidFill>
          <a:ln>
            <a:noFill/>
          </a:ln>
          <a:effectLst>
            <a:outerShdw blurRad="317500" algn="ctr" rotWithShape="0">
              <a:prstClr val="black">
                <a:alpha val="25000"/>
              </a:prstClr>
            </a:outerShdw>
          </a:effectLst>
        </c:spPr>
      </c:pivotFmt>
      <c:pivotFmt>
        <c:idx val="18"/>
        <c:spPr>
          <a:solidFill>
            <a:schemeClr val="accent1"/>
          </a:solidFill>
          <a:ln>
            <a:noFill/>
          </a:ln>
          <a:effectLst>
            <a:outerShdw blurRad="317500" algn="ctr" rotWithShape="0">
              <a:prstClr val="black">
                <a:alpha val="25000"/>
              </a:prstClr>
            </a:outerShdw>
          </a:effectLst>
        </c:spPr>
      </c:pivotFmt>
      <c:pivotFmt>
        <c:idx val="19"/>
        <c:spPr>
          <a:solidFill>
            <a:schemeClr val="accent1"/>
          </a:solidFill>
          <a:ln>
            <a:noFill/>
          </a:ln>
          <a:effectLst>
            <a:outerShdw blurRad="317500" algn="ctr" rotWithShape="0">
              <a:prstClr val="black">
                <a:alpha val="25000"/>
              </a:prstClr>
            </a:outerShdw>
          </a:effectLst>
        </c:spPr>
      </c:pivotFmt>
      <c:pivotFmt>
        <c:idx val="20"/>
        <c:spPr>
          <a:solidFill>
            <a:schemeClr val="accent1"/>
          </a:solidFill>
          <a:ln>
            <a:noFill/>
          </a:ln>
          <a:effectLst>
            <a:outerShdw blurRad="317500" algn="ctr" rotWithShape="0">
              <a:prstClr val="black">
                <a:alpha val="25000"/>
              </a:prstClr>
            </a:outerShdw>
          </a:effectLst>
        </c:spPr>
      </c:pivotFmt>
      <c:pivotFmt>
        <c:idx val="21"/>
        <c:spPr>
          <a:solidFill>
            <a:schemeClr val="accent1"/>
          </a:solidFill>
          <a:ln>
            <a:noFill/>
          </a:ln>
          <a:effectLst>
            <a:outerShdw blurRad="317500" algn="ctr" rotWithShape="0">
              <a:prstClr val="black">
                <a:alpha val="25000"/>
              </a:prstClr>
            </a:outerShdw>
          </a:effectLst>
        </c:spPr>
      </c:pivotFmt>
      <c:pivotFmt>
        <c:idx val="22"/>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0.2378535311159948"/>
          <c:y val="0.14947690333294705"/>
          <c:w val="0.4823430030154448"/>
          <c:h val="0.69960232397589506"/>
        </c:manualLayout>
      </c:layout>
      <c:doughnutChart>
        <c:varyColors val="1"/>
        <c:ser>
          <c:idx val="0"/>
          <c:order val="0"/>
          <c:tx>
            <c:strRef>
              <c:f>'Pivot Table'!$B$2</c:f>
              <c:strCache>
                <c:ptCount val="1"/>
                <c:pt idx="0">
                  <c:v>Total</c:v>
                </c:pt>
              </c:strCache>
            </c:strRef>
          </c:tx>
          <c:explosion val="5"/>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A221-46EE-89BC-1331AE32D296}"/>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A221-46EE-89BC-1331AE32D296}"/>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A221-46EE-89BC-1331AE32D296}"/>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A221-46EE-89BC-1331AE32D296}"/>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A221-46EE-89BC-1331AE32D296}"/>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A221-46EE-89BC-1331AE32D296}"/>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A221-46EE-89BC-1331AE32D296}"/>
              </c:ext>
            </c:extLst>
          </c:dPt>
          <c:dPt>
            <c:idx val="7"/>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A221-46EE-89BC-1331AE32D296}"/>
              </c:ext>
            </c:extLst>
          </c:dPt>
          <c:dPt>
            <c:idx val="8"/>
            <c:bubble3D val="0"/>
            <c:spPr>
              <a:solidFill>
                <a:schemeClr val="accent3">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A221-46EE-89BC-1331AE32D296}"/>
              </c:ext>
            </c:extLst>
          </c:dPt>
          <c:dPt>
            <c:idx val="9"/>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A221-46EE-89BC-1331AE32D296}"/>
              </c:ext>
            </c:extLst>
          </c:dPt>
          <c:dLbls>
            <c:dLbl>
              <c:idx val="1"/>
              <c:layout>
                <c:manualLayout>
                  <c:x val="1.9995611765972632E-2"/>
                  <c:y val="0"/>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221-46EE-89BC-1331AE32D29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multiLvlStrRef>
              <c:f>'Pivot Table'!$A$3:$A$15</c:f>
              <c:multiLvlStrCache>
                <c:ptCount val="10"/>
                <c:lvl>
                  <c:pt idx="0">
                    <c:v>Chain Sprocket</c:v>
                  </c:pt>
                  <c:pt idx="1">
                    <c:v>Disc Brake</c:v>
                  </c:pt>
                  <c:pt idx="2">
                    <c:v>Handle Grips</c:v>
                  </c:pt>
                  <c:pt idx="3">
                    <c:v>LED Indicators</c:v>
                  </c:pt>
                  <c:pt idx="4">
                    <c:v>Racing Exhaust</c:v>
                  </c:pt>
                  <c:pt idx="5">
                    <c:v>Alloy Wheels</c:v>
                  </c:pt>
                  <c:pt idx="6">
                    <c:v>Brake Kit</c:v>
                  </c:pt>
                  <c:pt idx="7">
                    <c:v>LED Headlights</c:v>
                  </c:pt>
                  <c:pt idx="8">
                    <c:v>Performance Exhaust</c:v>
                  </c:pt>
                  <c:pt idx="9">
                    <c:v>Spoiler</c:v>
                  </c:pt>
                </c:lvl>
                <c:lvl>
                  <c:pt idx="0">
                    <c:v>Bike</c:v>
                  </c:pt>
                  <c:pt idx="5">
                    <c:v>Car</c:v>
                  </c:pt>
                </c:lvl>
              </c:multiLvlStrCache>
            </c:multiLvlStrRef>
          </c:cat>
          <c:val>
            <c:numRef>
              <c:f>'Pivot Table'!$B$3:$B$15</c:f>
              <c:numCache>
                <c:formatCode>0.00</c:formatCode>
                <c:ptCount val="10"/>
                <c:pt idx="0">
                  <c:v>465952.29</c:v>
                </c:pt>
                <c:pt idx="1">
                  <c:v>527310.44000000006</c:v>
                </c:pt>
                <c:pt idx="2">
                  <c:v>611727.03</c:v>
                </c:pt>
                <c:pt idx="3">
                  <c:v>535950.77000000014</c:v>
                </c:pt>
                <c:pt idx="4">
                  <c:v>497317.47000000009</c:v>
                </c:pt>
                <c:pt idx="5">
                  <c:v>433808.16000000009</c:v>
                </c:pt>
                <c:pt idx="6">
                  <c:v>621178.91999999993</c:v>
                </c:pt>
                <c:pt idx="7">
                  <c:v>503520.17</c:v>
                </c:pt>
                <c:pt idx="8">
                  <c:v>550525.50000000012</c:v>
                </c:pt>
                <c:pt idx="9">
                  <c:v>467477.17000000016</c:v>
                </c:pt>
              </c:numCache>
            </c:numRef>
          </c:val>
          <c:extLst>
            <c:ext xmlns:c16="http://schemas.microsoft.com/office/drawing/2014/chart" uri="{C3380CC4-5D6E-409C-BE32-E72D297353CC}">
              <c16:uniqueId val="{00000014-A221-46EE-89BC-1331AE32D296}"/>
            </c:ext>
          </c:extLst>
        </c:ser>
        <c:dLbls>
          <c:showLegendKey val="0"/>
          <c:showVal val="0"/>
          <c:showCatName val="0"/>
          <c:showSerName val="0"/>
          <c:showPercent val="1"/>
          <c:showBubbleSize val="0"/>
          <c:showLeaderLines val="0"/>
        </c:dLbls>
        <c:firstSliceAng val="0"/>
        <c:holeSize val="7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[ANUGYA_MACRO BASED_DASHBOARD.xlsm]Pivot Table!PivotTable1</c:name>
    <c:fmtId val="17"/>
  </c:pivotSource>
  <c:chart>
    <c:title>
      <c:tx>
        <c:rich>
          <a:bodyPr rot="0" spcFirstLastPara="1" vertOverflow="ellipsis" vert="horz" wrap="square" anchor="ctr" anchorCtr="1"/>
          <a:lstStyle/>
          <a:p>
            <a:pPr algn="ctr" rtl="0">
              <a:defRPr lang="en-US" sz="1500" b="1" i="0" u="none" strike="noStrike" kern="1200" cap="all" spc="100" normalizeH="0" baseline="0">
                <a:solidFill>
                  <a:schemeClr val="bg1"/>
                </a:solidFill>
                <a:effectLst>
                  <a:outerShdw blurRad="50800" dist="38100" dir="5400000" algn="t" rotWithShape="0">
                    <a:prstClr val="black">
                      <a:alpha val="40000"/>
                    </a:prstClr>
                  </a:outerShdw>
                </a:effectLst>
                <a:latin typeface="+mn-lt"/>
                <a:ea typeface="+mn-ea"/>
                <a:cs typeface="+mn-cs"/>
              </a:defRPr>
            </a:pPr>
            <a:r>
              <a:rPr lang="en-US" sz="1400" b="1" i="0" u="none" strike="noStrike" kern="1200" cap="all" spc="100" normalizeH="0" baseline="0">
                <a:solidFill>
                  <a:schemeClr val="accent1">
                    <a:lumMod val="40000"/>
                    <a:lumOff val="60000"/>
                  </a:schemeClr>
                </a:solidFill>
                <a:latin typeface="+mn-lt"/>
                <a:ea typeface="+mn-ea"/>
                <a:cs typeface="+mn-cs"/>
              </a:rPr>
              <a:t>Region Wise SaleS</a:t>
            </a:r>
          </a:p>
        </c:rich>
      </c:tx>
      <c:layout>
        <c:manualLayout>
          <c:xMode val="edge"/>
          <c:yMode val="edge"/>
          <c:x val="0.42512281191276019"/>
          <c:y val="0.13277768125294745"/>
        </c:manualLayout>
      </c:layout>
      <c:overlay val="0"/>
      <c:spPr>
        <a:noFill/>
        <a:ln>
          <a:noFill/>
        </a:ln>
        <a:effectLst/>
      </c:spPr>
      <c:txPr>
        <a:bodyPr rot="0" spcFirstLastPara="1" vertOverflow="ellipsis" vert="horz" wrap="square" anchor="ctr" anchorCtr="1"/>
        <a:lstStyle/>
        <a:p>
          <a:pPr algn="ctr" rtl="0">
            <a:defRPr lang="en-US" sz="1500" b="1" i="0" u="none" strike="noStrike" kern="1200" cap="all" spc="100" normalizeH="0" baseline="0">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dLbl>
          <c:idx val="0"/>
          <c:layout>
            <c:manualLayout>
              <c:x val="0.38342198581560283"/>
              <c:y val="-7.09975150869719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dLbl>
          <c:idx val="0"/>
          <c:layout>
            <c:manualLayout>
              <c:x val="0.19725177304964539"/>
              <c:y val="-1.41995030173943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dLbl>
          <c:idx val="0"/>
          <c:layout>
            <c:manualLayout>
              <c:x val="0.26595744680851058"/>
              <c:y val="-3.54987575434859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dLbl>
          <c:idx val="0"/>
          <c:layout>
            <c:manualLayout>
              <c:x val="0.26595744680851058"/>
              <c:y val="-3.54987575434859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dLbl>
          <c:idx val="0"/>
          <c:layout>
            <c:manualLayout>
              <c:x val="0.38342198581560283"/>
              <c:y val="-7.09975150869719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dLbl>
          <c:idx val="0"/>
          <c:layout>
            <c:manualLayout>
              <c:x val="0.19725177304964539"/>
              <c:y val="-1.41995030173943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dLbl>
          <c:idx val="0"/>
          <c:layout>
            <c:manualLayout>
              <c:x val="0.26595744680851058"/>
              <c:y val="-3.54987575434859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dLbl>
          <c:idx val="0"/>
          <c:layout>
            <c:manualLayout>
              <c:x val="0.38342198581560283"/>
              <c:y val="-7.09975150869719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dLbl>
          <c:idx val="0"/>
          <c:layout>
            <c:manualLayout>
              <c:x val="0.19725177304964539"/>
              <c:y val="-1.41995030173943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dLbl>
          <c:idx val="0"/>
          <c:layout>
            <c:manualLayout>
              <c:x val="0.26595744680851058"/>
              <c:y val="-3.54987575434859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dLbl>
          <c:idx val="0"/>
          <c:layout>
            <c:manualLayout>
              <c:x val="0.38342198581560283"/>
              <c:y val="-7.09975150869719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dLbl>
          <c:idx val="0"/>
          <c:layout>
            <c:manualLayout>
              <c:x val="0.19725177304964539"/>
              <c:y val="-1.41995030173943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dLbl>
          <c:idx val="0"/>
          <c:layout>
            <c:manualLayout>
              <c:x val="0.26595744680851058"/>
              <c:y val="-3.54987575434859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dLbl>
          <c:idx val="0"/>
          <c:layout>
            <c:manualLayout>
              <c:x val="0.38342198581560283"/>
              <c:y val="-7.09975150869719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dLbl>
          <c:idx val="0"/>
          <c:layout>
            <c:manualLayout>
              <c:x val="0.19725177304964539"/>
              <c:y val="-1.41995030173943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dLbl>
          <c:idx val="0"/>
          <c:layout>
            <c:manualLayout>
              <c:x val="0.26595744680851058"/>
              <c:y val="-3.549875754348598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dLbl>
          <c:idx val="0"/>
          <c:layout>
            <c:manualLayout>
              <c:x val="0.38342198581560283"/>
              <c:y val="-7.09975150869719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sx="104000" sy="104000" algn="ctr" rotWithShape="0">
              <a:srgbClr val="000000">
                <a:alpha val="60000"/>
              </a:srgbClr>
            </a:outerShdw>
          </a:effectLst>
          <a:sp3d/>
        </c:spPr>
        <c:dLbl>
          <c:idx val="0"/>
          <c:layout>
            <c:manualLayout>
              <c:x val="0.19725177304964539"/>
              <c:y val="-1.419950301739435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gradFill flip="none" rotWithShape="1">
            <a:gsLst>
              <a:gs pos="0">
                <a:schemeClr val="accent4">
                  <a:lumMod val="40000"/>
                  <a:lumOff val="60000"/>
                </a:schemeClr>
              </a:gs>
              <a:gs pos="52000">
                <a:srgbClr val="92D050"/>
              </a:gs>
              <a:gs pos="89000">
                <a:srgbClr val="FFFF00"/>
              </a:gs>
            </a:gsLst>
            <a:path path="circle">
              <a:fillToRect l="50000" t="50000" r="50000" b="50000"/>
            </a:path>
            <a:tileRect/>
          </a:gradFill>
          <a:ln>
            <a:noFill/>
          </a:ln>
          <a:effectLst>
            <a:outerShdw blurRad="1270000" dist="19050" dir="5400000" sx="104000" sy="104000" algn="ctr" rotWithShape="0">
              <a:srgbClr val="000000">
                <a:alpha val="60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gradFill flip="none" rotWithShape="1">
            <a:gsLst>
              <a:gs pos="0">
                <a:schemeClr val="accent4">
                  <a:lumMod val="40000"/>
                  <a:lumOff val="60000"/>
                </a:schemeClr>
              </a:gs>
              <a:gs pos="52000">
                <a:srgbClr val="92D050"/>
              </a:gs>
              <a:gs pos="89000">
                <a:srgbClr val="FFFF00"/>
              </a:gs>
            </a:gsLst>
            <a:path path="circle">
              <a:fillToRect l="50000" t="50000" r="50000" b="50000"/>
            </a:path>
            <a:tileRect/>
          </a:gradFill>
          <a:ln>
            <a:noFill/>
          </a:ln>
          <a:effectLst>
            <a:outerShdw blurRad="1270000" dist="19050" dir="5400000" sx="104000" sy="104000" algn="ctr" rotWithShape="0">
              <a:srgbClr val="000000">
                <a:alpha val="60000"/>
              </a:srgbClr>
            </a:outerShdw>
          </a:effectLst>
          <a:sp3d/>
        </c:spPr>
        <c:dLbl>
          <c:idx val="0"/>
          <c:layout>
            <c:manualLayout>
              <c:x val="1.1394442049210708E-2"/>
              <c:y val="-3.5499054238333646E-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gradFill flip="none" rotWithShape="1">
            <a:gsLst>
              <a:gs pos="0">
                <a:schemeClr val="accent4">
                  <a:lumMod val="40000"/>
                  <a:lumOff val="60000"/>
                </a:schemeClr>
              </a:gs>
              <a:gs pos="52000">
                <a:srgbClr val="92D050"/>
              </a:gs>
              <a:gs pos="89000">
                <a:srgbClr val="FFFF00"/>
              </a:gs>
            </a:gsLst>
            <a:path path="circle">
              <a:fillToRect l="50000" t="50000" r="50000" b="50000"/>
            </a:path>
            <a:tileRect/>
          </a:gradFill>
          <a:ln>
            <a:noFill/>
          </a:ln>
          <a:effectLst>
            <a:outerShdw blurRad="1270000" dist="19050" dir="5400000" sx="104000" sy="104000" algn="ctr" rotWithShape="0">
              <a:srgbClr val="000000">
                <a:alpha val="60000"/>
              </a:srgbClr>
            </a:outerShdw>
          </a:effectLst>
          <a:sp3d/>
        </c:spPr>
        <c:dLbl>
          <c:idx val="0"/>
          <c:layout>
            <c:manualLayout>
              <c:x val="1.4357469407396222E-3"/>
              <c:y val="-2.0987992537967098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gradFill flip="none" rotWithShape="1">
            <a:gsLst>
              <a:gs pos="0">
                <a:schemeClr val="accent4">
                  <a:lumMod val="40000"/>
                  <a:lumOff val="60000"/>
                </a:schemeClr>
              </a:gs>
              <a:gs pos="52000">
                <a:srgbClr val="92D050"/>
              </a:gs>
              <a:gs pos="89000">
                <a:srgbClr val="FFFF00"/>
              </a:gs>
            </a:gsLst>
            <a:path path="circle">
              <a:fillToRect l="50000" t="50000" r="50000" b="50000"/>
            </a:path>
            <a:tileRect/>
          </a:gradFill>
          <a:ln>
            <a:noFill/>
          </a:ln>
          <a:effectLst>
            <a:outerShdw blurRad="1270000" dist="19050" dir="5400000" sx="104000" sy="104000" algn="ctr" rotWithShape="0">
              <a:srgbClr val="000000">
                <a:alpha val="60000"/>
              </a:srgbClr>
            </a:outerShdw>
          </a:effectLst>
          <a:sp3d/>
        </c:spPr>
        <c:dLbl>
          <c:idx val="0"/>
          <c:layout>
            <c:manualLayout>
              <c:x val="1.1587043715934789E-2"/>
              <c:y val="-1.4199613554203195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2531976243609522"/>
          <c:y val="0.18797882134457278"/>
          <c:w val="0.77468023756390481"/>
          <c:h val="0.74498564058306838"/>
        </c:manualLayout>
      </c:layout>
      <c:bar3DChart>
        <c:barDir val="bar"/>
        <c:grouping val="clustered"/>
        <c:varyColors val="0"/>
        <c:ser>
          <c:idx val="0"/>
          <c:order val="0"/>
          <c:tx>
            <c:strRef>
              <c:f>'Pivot Table'!$B$20</c:f>
              <c:strCache>
                <c:ptCount val="1"/>
                <c:pt idx="0">
                  <c:v>Total</c:v>
                </c:pt>
              </c:strCache>
            </c:strRef>
          </c:tx>
          <c:spPr>
            <a:gradFill flip="none" rotWithShape="1">
              <a:gsLst>
                <a:gs pos="0">
                  <a:schemeClr val="accent4">
                    <a:lumMod val="40000"/>
                    <a:lumOff val="60000"/>
                  </a:schemeClr>
                </a:gs>
                <a:gs pos="52000">
                  <a:srgbClr val="92D050"/>
                </a:gs>
                <a:gs pos="89000">
                  <a:srgbClr val="FFFF00"/>
                </a:gs>
              </a:gsLst>
              <a:path path="circle">
                <a:fillToRect l="50000" t="50000" r="50000" b="50000"/>
              </a:path>
              <a:tileRect/>
            </a:gradFill>
            <a:ln>
              <a:noFill/>
            </a:ln>
            <a:effectLst>
              <a:outerShdw blurRad="1270000" dist="19050" dir="5400000" sx="104000" sy="104000" algn="ctr" rotWithShape="0">
                <a:srgbClr val="000000">
                  <a:alpha val="60000"/>
                </a:srgbClr>
              </a:outerShdw>
            </a:effectLst>
            <a:sp3d/>
          </c:spPr>
          <c:invertIfNegative val="0"/>
          <c:dPt>
            <c:idx val="0"/>
            <c:invertIfNegative val="0"/>
            <c:bubble3D val="0"/>
            <c:spPr>
              <a:gradFill flip="none" rotWithShape="1">
                <a:gsLst>
                  <a:gs pos="0">
                    <a:schemeClr val="accent4">
                      <a:lumMod val="40000"/>
                      <a:lumOff val="60000"/>
                    </a:schemeClr>
                  </a:gs>
                  <a:gs pos="52000">
                    <a:srgbClr val="92D050"/>
                  </a:gs>
                  <a:gs pos="89000">
                    <a:srgbClr val="FFFF00"/>
                  </a:gs>
                </a:gsLst>
                <a:path path="circle">
                  <a:fillToRect l="50000" t="50000" r="50000" b="50000"/>
                </a:path>
                <a:tileRect/>
              </a:gradFill>
              <a:ln>
                <a:noFill/>
              </a:ln>
              <a:effectLst>
                <a:outerShdw blurRad="1270000" dist="19050" dir="5400000" sx="104000" sy="104000" algn="ctr" rotWithShape="0">
                  <a:srgbClr val="000000">
                    <a:alpha val="60000"/>
                  </a:srgbClr>
                </a:outerShdw>
              </a:effectLst>
              <a:sp3d/>
            </c:spPr>
            <c:extLst>
              <c:ext xmlns:c16="http://schemas.microsoft.com/office/drawing/2014/chart" uri="{C3380CC4-5D6E-409C-BE32-E72D297353CC}">
                <c16:uniqueId val="{00000001-CEB3-44A8-8F0E-87EED9207758}"/>
              </c:ext>
            </c:extLst>
          </c:dPt>
          <c:dPt>
            <c:idx val="1"/>
            <c:invertIfNegative val="0"/>
            <c:bubble3D val="0"/>
            <c:spPr>
              <a:gradFill flip="none" rotWithShape="1">
                <a:gsLst>
                  <a:gs pos="0">
                    <a:schemeClr val="accent4">
                      <a:lumMod val="40000"/>
                      <a:lumOff val="60000"/>
                    </a:schemeClr>
                  </a:gs>
                  <a:gs pos="52000">
                    <a:srgbClr val="92D050"/>
                  </a:gs>
                  <a:gs pos="89000">
                    <a:srgbClr val="FFFF00"/>
                  </a:gs>
                </a:gsLst>
                <a:path path="circle">
                  <a:fillToRect l="50000" t="50000" r="50000" b="50000"/>
                </a:path>
                <a:tileRect/>
              </a:gradFill>
              <a:ln>
                <a:noFill/>
              </a:ln>
              <a:effectLst>
                <a:outerShdw blurRad="1270000" dist="19050" dir="5400000" sx="104000" sy="104000" algn="ctr" rotWithShape="0">
                  <a:srgbClr val="000000">
                    <a:alpha val="60000"/>
                  </a:srgbClr>
                </a:outerShdw>
              </a:effectLst>
              <a:sp3d/>
            </c:spPr>
            <c:extLst>
              <c:ext xmlns:c16="http://schemas.microsoft.com/office/drawing/2014/chart" uri="{C3380CC4-5D6E-409C-BE32-E72D297353CC}">
                <c16:uniqueId val="{00000003-CEB3-44A8-8F0E-87EED9207758}"/>
              </c:ext>
            </c:extLst>
          </c:dPt>
          <c:dPt>
            <c:idx val="2"/>
            <c:invertIfNegative val="0"/>
            <c:bubble3D val="0"/>
            <c:spPr>
              <a:gradFill flip="none" rotWithShape="1">
                <a:gsLst>
                  <a:gs pos="0">
                    <a:schemeClr val="accent4">
                      <a:lumMod val="40000"/>
                      <a:lumOff val="60000"/>
                    </a:schemeClr>
                  </a:gs>
                  <a:gs pos="52000">
                    <a:srgbClr val="92D050"/>
                  </a:gs>
                  <a:gs pos="89000">
                    <a:srgbClr val="FFFF00"/>
                  </a:gs>
                </a:gsLst>
                <a:path path="circle">
                  <a:fillToRect l="50000" t="50000" r="50000" b="50000"/>
                </a:path>
                <a:tileRect/>
              </a:gradFill>
              <a:ln>
                <a:noFill/>
              </a:ln>
              <a:effectLst>
                <a:outerShdw blurRad="1270000" dist="19050" dir="5400000" sx="104000" sy="104000" algn="ctr" rotWithShape="0">
                  <a:srgbClr val="000000">
                    <a:alpha val="60000"/>
                  </a:srgbClr>
                </a:outerShdw>
              </a:effectLst>
              <a:sp3d/>
            </c:spPr>
            <c:extLst>
              <c:ext xmlns:c16="http://schemas.microsoft.com/office/drawing/2014/chart" uri="{C3380CC4-5D6E-409C-BE32-E72D297353CC}">
                <c16:uniqueId val="{00000005-CEB3-44A8-8F0E-87EED9207758}"/>
              </c:ext>
            </c:extLst>
          </c:dPt>
          <c:dLbls>
            <c:dLbl>
              <c:idx val="0"/>
              <c:layout>
                <c:manualLayout>
                  <c:x val="1.1394442049210708E-2"/>
                  <c:y val="-3.549905423833364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EB3-44A8-8F0E-87EED9207758}"/>
                </c:ext>
              </c:extLst>
            </c:dLbl>
            <c:dLbl>
              <c:idx val="1"/>
              <c:layout>
                <c:manualLayout>
                  <c:x val="1.4357469407396222E-3"/>
                  <c:y val="-2.0987992537967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EB3-44A8-8F0E-87EED9207758}"/>
                </c:ext>
              </c:extLst>
            </c:dLbl>
            <c:dLbl>
              <c:idx val="2"/>
              <c:layout>
                <c:manualLayout>
                  <c:x val="1.1587043715934789E-2"/>
                  <c:y val="-1.419961355420319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EB3-44A8-8F0E-87EED9207758}"/>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 Table'!$A$21:$A$24</c:f>
              <c:strCache>
                <c:ptCount val="3"/>
                <c:pt idx="0">
                  <c:v>Europe</c:v>
                </c:pt>
                <c:pt idx="1">
                  <c:v>North America</c:v>
                </c:pt>
                <c:pt idx="2">
                  <c:v>Pacific</c:v>
                </c:pt>
              </c:strCache>
            </c:strRef>
          </c:cat>
          <c:val>
            <c:numRef>
              <c:f>'Pivot Table'!$B$21:$B$24</c:f>
              <c:numCache>
                <c:formatCode>0.00</c:formatCode>
                <c:ptCount val="3"/>
                <c:pt idx="0">
                  <c:v>1602403.5499999991</c:v>
                </c:pt>
                <c:pt idx="1">
                  <c:v>2603861.66</c:v>
                </c:pt>
                <c:pt idx="2">
                  <c:v>1008502.71</c:v>
                </c:pt>
              </c:numCache>
            </c:numRef>
          </c:val>
          <c:extLst>
            <c:ext xmlns:c16="http://schemas.microsoft.com/office/drawing/2014/chart" uri="{C3380CC4-5D6E-409C-BE32-E72D297353CC}">
              <c16:uniqueId val="{00000006-CEB3-44A8-8F0E-87EED9207758}"/>
            </c:ext>
          </c:extLst>
        </c:ser>
        <c:dLbls>
          <c:showLegendKey val="0"/>
          <c:showVal val="1"/>
          <c:showCatName val="0"/>
          <c:showSerName val="0"/>
          <c:showPercent val="0"/>
          <c:showBubbleSize val="0"/>
        </c:dLbls>
        <c:gapWidth val="145"/>
        <c:gapDepth val="158"/>
        <c:shape val="box"/>
        <c:axId val="1189029855"/>
        <c:axId val="1189032735"/>
        <c:axId val="0"/>
      </c:bar3DChart>
      <c:catAx>
        <c:axId val="1189029855"/>
        <c:scaling>
          <c:orientation val="minMax"/>
        </c:scaling>
        <c:delete val="0"/>
        <c:axPos val="l"/>
        <c:numFmt formatCode="General" sourceLinked="1"/>
        <c:majorTickMark val="none"/>
        <c:minorTickMark val="none"/>
        <c:tickLblPos val="nextTo"/>
        <c:spPr>
          <a:noFill/>
          <a:ln w="19050" cap="flat" cmpd="sng" algn="ctr">
            <a:solidFill>
              <a:schemeClr val="accent2"/>
            </a:solidFill>
            <a:prstDash val="dash"/>
            <a:round/>
            <a:headEnd type="none" w="med" len="med"/>
            <a:tailEnd type="none" w="med" len="me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1189032735"/>
        <c:crosses val="autoZero"/>
        <c:auto val="1"/>
        <c:lblAlgn val="ctr"/>
        <c:lblOffset val="100"/>
        <c:noMultiLvlLbl val="0"/>
      </c:catAx>
      <c:valAx>
        <c:axId val="1189032735"/>
        <c:scaling>
          <c:orientation val="minMax"/>
        </c:scaling>
        <c:delete val="1"/>
        <c:axPos val="b"/>
        <c:numFmt formatCode="0.00" sourceLinked="1"/>
        <c:majorTickMark val="none"/>
        <c:minorTickMark val="none"/>
        <c:tickLblPos val="nextTo"/>
        <c:crossAx val="11890298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12700" cap="flat" cmpd="sng" algn="ctr">
      <a:no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[ANUGYA_MACRO BASED_DASHBOARD.xlsm]Pivot Table!PivotTable3</c:name>
    <c:fmtId val="17"/>
  </c:pivotSource>
  <c:chart>
    <c:title>
      <c:tx>
        <c:rich>
          <a:bodyPr rot="0" spcFirstLastPara="1" vertOverflow="ellipsis" vert="horz" wrap="square" anchor="ctr" anchorCtr="1"/>
          <a:lstStyle/>
          <a:p>
            <a:pPr algn="ctr">
              <a:defRPr sz="1500" b="1" i="0" u="none" strike="noStrike" kern="1200" cap="all" spc="100" normalizeH="0" baseline="0">
                <a:solidFill>
                  <a:schemeClr val="lt1"/>
                </a:solidFill>
                <a:latin typeface="+mn-lt"/>
                <a:ea typeface="+mn-ea"/>
                <a:cs typeface="+mn-cs"/>
              </a:defRPr>
            </a:pPr>
            <a:r>
              <a:rPr lang="en-US">
                <a:solidFill>
                  <a:schemeClr val="tx2">
                    <a:lumMod val="50000"/>
                    <a:lumOff val="50000"/>
                  </a:schemeClr>
                </a:solidFill>
              </a:rPr>
              <a:t>Trend analysis</a:t>
            </a:r>
          </a:p>
        </c:rich>
      </c:tx>
      <c:layout>
        <c:manualLayout>
          <c:xMode val="edge"/>
          <c:yMode val="edge"/>
          <c:x val="0.31983011186932714"/>
          <c:y val="3.8321283351693547E-2"/>
        </c:manualLayout>
      </c:layout>
      <c:overlay val="0"/>
      <c:spPr>
        <a:noFill/>
        <a:ln>
          <a:noFill/>
        </a:ln>
        <a:effectLst/>
      </c:spPr>
      <c:txPr>
        <a:bodyPr rot="0" spcFirstLastPara="1" vertOverflow="ellipsis" vert="horz" wrap="square" anchor="ctr" anchorCtr="1"/>
        <a:lstStyle/>
        <a:p>
          <a:pPr algn="ct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2">
                <a:lumMod val="75000"/>
              </a:schemeClr>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Table'!$B$35</c:f>
              <c:strCache>
                <c:ptCount val="1"/>
                <c:pt idx="0">
                  <c:v>Total</c:v>
                </c:pt>
              </c:strCache>
            </c:strRef>
          </c:tx>
          <c:spPr>
            <a:ln w="34925" cap="rnd">
              <a:solidFill>
                <a:schemeClr val="accent2">
                  <a:lumMod val="75000"/>
                </a:schemeClr>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strRef>
              <c:f>'Pivot Table'!$A$36:$A$48</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Table'!$B$36:$B$48</c:f>
              <c:numCache>
                <c:formatCode>General</c:formatCode>
                <c:ptCount val="12"/>
                <c:pt idx="0">
                  <c:v>443570.5700000003</c:v>
                </c:pt>
                <c:pt idx="1">
                  <c:v>400931.36</c:v>
                </c:pt>
                <c:pt idx="2">
                  <c:v>451788.78</c:v>
                </c:pt>
                <c:pt idx="3">
                  <c:v>390158.82</c:v>
                </c:pt>
                <c:pt idx="4">
                  <c:v>451959.45999999979</c:v>
                </c:pt>
                <c:pt idx="5">
                  <c:v>433699.03</c:v>
                </c:pt>
                <c:pt idx="6">
                  <c:v>412771.13999999996</c:v>
                </c:pt>
                <c:pt idx="7">
                  <c:v>342108.93</c:v>
                </c:pt>
                <c:pt idx="8">
                  <c:v>453883.06</c:v>
                </c:pt>
                <c:pt idx="9">
                  <c:v>522872.17999999993</c:v>
                </c:pt>
                <c:pt idx="10">
                  <c:v>464175.67000000016</c:v>
                </c:pt>
                <c:pt idx="11">
                  <c:v>446848.92000000016</c:v>
                </c:pt>
              </c:numCache>
            </c:numRef>
          </c:val>
          <c:smooth val="1"/>
          <c:extLst>
            <c:ext xmlns:c16="http://schemas.microsoft.com/office/drawing/2014/chart" uri="{C3380CC4-5D6E-409C-BE32-E72D297353CC}">
              <c16:uniqueId val="{00000000-1488-44AC-9825-ED09DE842A1F}"/>
            </c:ext>
          </c:extLst>
        </c:ser>
        <c:dLbls>
          <c:showLegendKey val="0"/>
          <c:showVal val="0"/>
          <c:showCatName val="0"/>
          <c:showSerName val="0"/>
          <c:showPercent val="0"/>
          <c:showBubbleSize val="0"/>
        </c:dLbls>
        <c:dropLines>
          <c:spPr>
            <a:ln w="9525" cap="flat" cmpd="sng" algn="ctr">
              <a:solidFill>
                <a:srgbClr val="00B0F0"/>
              </a:solidFill>
              <a:round/>
            </a:ln>
            <a:effectLst/>
          </c:spPr>
        </c:dropLines>
        <c:marker val="1"/>
        <c:smooth val="0"/>
        <c:axId val="1473277359"/>
        <c:axId val="1473273999"/>
      </c:lineChart>
      <c:catAx>
        <c:axId val="1473277359"/>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473273999"/>
        <c:crosses val="autoZero"/>
        <c:auto val="1"/>
        <c:lblAlgn val="ctr"/>
        <c:lblOffset val="100"/>
        <c:noMultiLvlLbl val="0"/>
      </c:catAx>
      <c:valAx>
        <c:axId val="147327399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473277359"/>
        <c:crosses val="autoZero"/>
        <c:crossBetween val="between"/>
      </c:valAx>
      <c:spPr>
        <a:gradFill>
          <a:gsLst>
            <a:gs pos="64339">
              <a:srgbClr val="023554"/>
            </a:gs>
            <a:gs pos="24000">
              <a:schemeClr val="accent6">
                <a:lumMod val="40000"/>
                <a:lumOff val="60000"/>
              </a:schemeClr>
            </a:gs>
            <a:gs pos="0">
              <a:schemeClr val="accent6">
                <a:lumMod val="75000"/>
              </a:schemeClr>
            </a:gs>
            <a:gs pos="74000">
              <a:srgbClr val="023554"/>
            </a:gs>
            <a:gs pos="83000">
              <a:srgbClr val="023554"/>
            </a:gs>
            <a:gs pos="90208">
              <a:srgbClr val="002060"/>
            </a:gs>
            <a:gs pos="100000">
              <a:srgbClr val="023554"/>
            </a:gs>
          </a:gsLst>
          <a:lin ang="2700000" scaled="1"/>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image" Target="../media/image3.png"/><Relationship Id="rId7" Type="http://schemas.openxmlformats.org/officeDocument/2006/relationships/chart" Target="../charts/chart3.xml"/><Relationship Id="rId12" Type="http://schemas.openxmlformats.org/officeDocument/2006/relationships/image" Target="../media/image8.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image" Target="../media/image7.png"/><Relationship Id="rId5" Type="http://schemas.openxmlformats.org/officeDocument/2006/relationships/chart" Target="../charts/chart1.xml"/><Relationship Id="rId10" Type="http://schemas.openxmlformats.org/officeDocument/2006/relationships/image" Target="../media/image6.svg"/><Relationship Id="rId4" Type="http://schemas.openxmlformats.org/officeDocument/2006/relationships/image" Target="../media/image4.svg"/><Relationship Id="rId9"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12</xdr:col>
      <xdr:colOff>487680</xdr:colOff>
      <xdr:row>34</xdr:row>
      <xdr:rowOff>0</xdr:rowOff>
    </xdr:from>
    <xdr:to>
      <xdr:col>15</xdr:col>
      <xdr:colOff>487680</xdr:colOff>
      <xdr:row>48</xdr:row>
      <xdr:rowOff>20955</xdr:rowOff>
    </xdr:to>
    <mc:AlternateContent xmlns:mc="http://schemas.openxmlformats.org/markup-compatibility/2006" xmlns:a14="http://schemas.microsoft.com/office/drawing/2010/main">
      <mc:Choice Requires="a14">
        <xdr:graphicFrame macro="">
          <xdr:nvGraphicFramePr>
            <xdr:cNvPr id="6" name="Order_Date">
              <a:extLst>
                <a:ext uri="{FF2B5EF4-FFF2-40B4-BE49-F238E27FC236}">
                  <a16:creationId xmlns:a16="http://schemas.microsoft.com/office/drawing/2014/main" id="{582C970F-143B-A826-57F5-E30B9C638D25}"/>
                </a:ext>
              </a:extLst>
            </xdr:cNvPr>
            <xdr:cNvGraphicFramePr/>
          </xdr:nvGraphicFramePr>
          <xdr:xfrm>
            <a:off x="0" y="0"/>
            <a:ext cx="0" cy="0"/>
          </xdr:xfrm>
          <a:graphic>
            <a:graphicData uri="http://schemas.microsoft.com/office/drawing/2010/slicer">
              <sle:slicer xmlns:sle="http://schemas.microsoft.com/office/drawing/2010/slicer" name="Order_Date"/>
            </a:graphicData>
          </a:graphic>
        </xdr:graphicFrame>
      </mc:Choice>
      <mc:Fallback xmlns="">
        <xdr:sp macro="" textlink="">
          <xdr:nvSpPr>
            <xdr:cNvPr id="0" name=""/>
            <xdr:cNvSpPr>
              <a:spLocks noTextEdit="1"/>
            </xdr:cNvSpPr>
          </xdr:nvSpPr>
          <xdr:spPr>
            <a:xfrm>
              <a:off x="9220200" y="6301740"/>
              <a:ext cx="1828800" cy="2581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501431</xdr:colOff>
      <xdr:row>2</xdr:row>
      <xdr:rowOff>130065</xdr:rowOff>
    </xdr:from>
    <xdr:to>
      <xdr:col>33</xdr:col>
      <xdr:colOff>62186</xdr:colOff>
      <xdr:row>59</xdr:row>
      <xdr:rowOff>174162</xdr:rowOff>
    </xdr:to>
    <xdr:grpSp>
      <xdr:nvGrpSpPr>
        <xdr:cNvPr id="67" name="Group 66">
          <a:extLst>
            <a:ext uri="{FF2B5EF4-FFF2-40B4-BE49-F238E27FC236}">
              <a16:creationId xmlns:a16="http://schemas.microsoft.com/office/drawing/2014/main" id="{8096A7FC-82E1-0EC4-D936-468089183B59}"/>
            </a:ext>
          </a:extLst>
        </xdr:cNvPr>
        <xdr:cNvGrpSpPr/>
      </xdr:nvGrpSpPr>
      <xdr:grpSpPr>
        <a:xfrm>
          <a:off x="1729098" y="489898"/>
          <a:ext cx="18748338" cy="10299347"/>
          <a:chOff x="1174531" y="447565"/>
          <a:chExt cx="18623455" cy="10178697"/>
        </a:xfrm>
      </xdr:grpSpPr>
      <xdr:sp macro="" textlink="">
        <xdr:nvSpPr>
          <xdr:cNvPr id="11" name="Rectangle 10">
            <a:extLst>
              <a:ext uri="{FF2B5EF4-FFF2-40B4-BE49-F238E27FC236}">
                <a16:creationId xmlns:a16="http://schemas.microsoft.com/office/drawing/2014/main" id="{9042C795-2CF8-086C-1A0F-5CCA40698364}"/>
              </a:ext>
            </a:extLst>
          </xdr:cNvPr>
          <xdr:cNvSpPr/>
        </xdr:nvSpPr>
        <xdr:spPr>
          <a:xfrm>
            <a:off x="1174531" y="447565"/>
            <a:ext cx="18623455" cy="10178697"/>
          </a:xfrm>
          <a:prstGeom prst="rect">
            <a:avLst/>
          </a:prstGeom>
          <a:gradFill flip="none" rotWithShape="1">
            <a:gsLst>
              <a:gs pos="64339">
                <a:schemeClr val="accent1">
                  <a:lumMod val="50000"/>
                </a:schemeClr>
              </a:gs>
              <a:gs pos="55278">
                <a:srgbClr val="023554"/>
              </a:gs>
              <a:gs pos="0">
                <a:schemeClr val="accent6">
                  <a:lumMod val="75000"/>
                </a:schemeClr>
              </a:gs>
              <a:gs pos="74000">
                <a:srgbClr val="023554"/>
              </a:gs>
              <a:gs pos="83000">
                <a:srgbClr val="023554"/>
              </a:gs>
              <a:gs pos="90208">
                <a:srgbClr val="002060"/>
              </a:gs>
              <a:gs pos="100000">
                <a:srgbClr val="023554"/>
              </a:gs>
            </a:gsLst>
            <a:lin ang="4200000" scaled="0"/>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9" name="Group 48">
            <a:extLst>
              <a:ext uri="{FF2B5EF4-FFF2-40B4-BE49-F238E27FC236}">
                <a16:creationId xmlns:a16="http://schemas.microsoft.com/office/drawing/2014/main" id="{EB2524CE-12EF-4486-CD95-9BAD77304190}"/>
              </a:ext>
            </a:extLst>
          </xdr:cNvPr>
          <xdr:cNvGrpSpPr/>
        </xdr:nvGrpSpPr>
        <xdr:grpSpPr>
          <a:xfrm>
            <a:off x="1521489" y="479702"/>
            <a:ext cx="17570395" cy="7753525"/>
            <a:chOff x="652125" y="30429"/>
            <a:chExt cx="15659536" cy="7341484"/>
          </a:xfrm>
        </xdr:grpSpPr>
        <xdr:sp macro="" textlink="">
          <xdr:nvSpPr>
            <xdr:cNvPr id="12" name="Rectangle: Rounded Corners 11">
              <a:extLst>
                <a:ext uri="{FF2B5EF4-FFF2-40B4-BE49-F238E27FC236}">
                  <a16:creationId xmlns:a16="http://schemas.microsoft.com/office/drawing/2014/main" id="{03BEB9ED-50E9-6D98-F248-7D94A7272CBE}"/>
                </a:ext>
              </a:extLst>
            </xdr:cNvPr>
            <xdr:cNvSpPr/>
          </xdr:nvSpPr>
          <xdr:spPr>
            <a:xfrm>
              <a:off x="656551" y="30429"/>
              <a:ext cx="15655110" cy="7341484"/>
            </a:xfrm>
            <a:prstGeom prst="roundRect">
              <a:avLst/>
            </a:prstGeom>
            <a:gradFill flip="none" rotWithShape="1">
              <a:gsLst>
                <a:gs pos="64339">
                  <a:srgbClr val="023554"/>
                </a:gs>
                <a:gs pos="55278">
                  <a:srgbClr val="023554"/>
                </a:gs>
                <a:gs pos="0">
                  <a:schemeClr val="accent6">
                    <a:lumMod val="75000"/>
                  </a:schemeClr>
                </a:gs>
                <a:gs pos="74000">
                  <a:srgbClr val="023554"/>
                </a:gs>
                <a:gs pos="83000">
                  <a:srgbClr val="023554"/>
                </a:gs>
                <a:gs pos="90208">
                  <a:srgbClr val="002060"/>
                </a:gs>
                <a:gs pos="100000">
                  <a:srgbClr val="023554"/>
                </a:gs>
              </a:gsLst>
              <a:lin ang="2700000" scaled="1"/>
              <a:tileRect/>
            </a:gradFill>
            <a:effectLst>
              <a:outerShdw blurRad="12700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sSS</a:t>
              </a:r>
            </a:p>
          </xdr:txBody>
        </xdr:sp>
        <xdr:sp macro="" textlink="">
          <xdr:nvSpPr>
            <xdr:cNvPr id="13" name="Rectangle: Rounded Corners 12">
              <a:extLst>
                <a:ext uri="{FF2B5EF4-FFF2-40B4-BE49-F238E27FC236}">
                  <a16:creationId xmlns:a16="http://schemas.microsoft.com/office/drawing/2014/main" id="{ABD32B3F-C603-D280-2078-8FFA76B719B9}"/>
                </a:ext>
              </a:extLst>
            </xdr:cNvPr>
            <xdr:cNvSpPr/>
          </xdr:nvSpPr>
          <xdr:spPr>
            <a:xfrm>
              <a:off x="652125" y="322460"/>
              <a:ext cx="2994656" cy="7040996"/>
            </a:xfrm>
            <a:prstGeom prst="roundRect">
              <a:avLst>
                <a:gd name="adj" fmla="val 16080"/>
              </a:avLst>
            </a:prstGeom>
            <a:gradFill>
              <a:gsLst>
                <a:gs pos="98000">
                  <a:schemeClr val="tx2">
                    <a:lumMod val="90000"/>
                    <a:lumOff val="10000"/>
                  </a:schemeClr>
                </a:gs>
                <a:gs pos="100000">
                  <a:srgbClr val="015253"/>
                </a:gs>
                <a:gs pos="37000">
                  <a:srgbClr val="081B2A"/>
                </a:gs>
                <a:gs pos="0">
                  <a:srgbClr val="015253"/>
                </a:gs>
                <a:gs pos="100000">
                  <a:srgbClr val="015253"/>
                </a:gs>
                <a:gs pos="100000">
                  <a:srgbClr val="015253"/>
                </a:gs>
                <a:gs pos="100000">
                  <a:srgbClr val="015253"/>
                </a:gs>
                <a:gs pos="99000">
                  <a:schemeClr val="accent3">
                    <a:lumMod val="50000"/>
                  </a:schemeClr>
                </a:gs>
              </a:gsLst>
              <a:lin ang="2700000" scaled="1"/>
            </a:gradFill>
            <a:ln>
              <a:noFill/>
            </a:ln>
            <a:effectLst>
              <a:outerShdw blurRad="50800" dist="50800" dir="5400000" algn="ctr" rotWithShape="0">
                <a:srgbClr val="000000">
                  <a:alpha val="8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0" name="TextBox 9">
            <a:extLst>
              <a:ext uri="{FF2B5EF4-FFF2-40B4-BE49-F238E27FC236}">
                <a16:creationId xmlns:a16="http://schemas.microsoft.com/office/drawing/2014/main" id="{423BAAFE-6FCF-0B11-3219-E03C9D22D0B9}"/>
              </a:ext>
            </a:extLst>
          </xdr:cNvPr>
          <xdr:cNvSpPr txBox="1"/>
        </xdr:nvSpPr>
        <xdr:spPr>
          <a:xfrm>
            <a:off x="2315882" y="478045"/>
            <a:ext cx="8085289" cy="358140"/>
          </a:xfrm>
          <a:prstGeom prst="rect">
            <a:avLst/>
          </a:prstGeom>
          <a:noFill/>
          <a:scene3d>
            <a:camera prst="orthographicFront"/>
            <a:lightRig rig="sunrise" dir="t"/>
          </a:scene3d>
          <a:sp3d/>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flatTx/>
          </a:bodyPr>
          <a:lstStyle/>
          <a:p>
            <a:endParaRPr lang="en-US" sz="1100">
              <a:ln>
                <a:solidFill>
                  <a:schemeClr val="accent1"/>
                </a:solidFill>
              </a:ln>
              <a:solidFill>
                <a:schemeClr val="tx1"/>
              </a:solidFill>
              <a:effectLst>
                <a:outerShdw blurRad="50800" dist="50800" dir="5400000" algn="ctr" rotWithShape="0">
                  <a:schemeClr val="tx2">
                    <a:lumMod val="50000"/>
                    <a:lumOff val="50000"/>
                  </a:schemeClr>
                </a:outerShdw>
              </a:effectLst>
            </a:endParaRPr>
          </a:p>
        </xdr:txBody>
      </xdr:sp>
      <xdr:cxnSp macro="">
        <xdr:nvCxnSpPr>
          <xdr:cNvPr id="25" name="Straight Connector 24">
            <a:extLst>
              <a:ext uri="{FF2B5EF4-FFF2-40B4-BE49-F238E27FC236}">
                <a16:creationId xmlns:a16="http://schemas.microsoft.com/office/drawing/2014/main" id="{E91EC071-C87F-E8CE-4656-2BCDBC028B6A}"/>
              </a:ext>
            </a:extLst>
          </xdr:cNvPr>
          <xdr:cNvCxnSpPr/>
        </xdr:nvCxnSpPr>
        <xdr:spPr>
          <a:xfrm>
            <a:off x="2809815" y="1435625"/>
            <a:ext cx="7599" cy="797560"/>
          </a:xfrm>
          <a:prstGeom prst="line">
            <a:avLst/>
          </a:prstGeom>
          <a:ln>
            <a:solidFill>
              <a:srgbClr val="00B0F0"/>
            </a:solidFill>
          </a:ln>
        </xdr:spPr>
        <xdr:style>
          <a:lnRef idx="2">
            <a:schemeClr val="dk1"/>
          </a:lnRef>
          <a:fillRef idx="0">
            <a:schemeClr val="dk1"/>
          </a:fillRef>
          <a:effectRef idx="1">
            <a:schemeClr val="dk1"/>
          </a:effectRef>
          <a:fontRef idx="minor">
            <a:schemeClr val="tx1"/>
          </a:fontRef>
        </xdr:style>
      </xdr:cxnSp>
      <xdr:pic>
        <xdr:nvPicPr>
          <xdr:cNvPr id="27" name="Graphic 26" descr="Clipboard Checked with solid fill">
            <a:extLst>
              <a:ext uri="{FF2B5EF4-FFF2-40B4-BE49-F238E27FC236}">
                <a16:creationId xmlns:a16="http://schemas.microsoft.com/office/drawing/2014/main" id="{E83F55E0-C929-AB84-63B1-FE6672BB02F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669970" y="1428005"/>
            <a:ext cx="911874" cy="889000"/>
          </a:xfrm>
          <a:prstGeom prst="rect">
            <a:avLst/>
          </a:prstGeom>
          <a:effectLst>
            <a:outerShdw blurRad="50800" dist="50800" dir="5400000" algn="ctr" rotWithShape="0">
              <a:srgbClr val="000000">
                <a:alpha val="88000"/>
              </a:srgbClr>
            </a:outerShdw>
          </a:effectLst>
        </xdr:spPr>
      </xdr:pic>
      <xdr:grpSp>
        <xdr:nvGrpSpPr>
          <xdr:cNvPr id="29" name="Group 28">
            <a:extLst>
              <a:ext uri="{FF2B5EF4-FFF2-40B4-BE49-F238E27FC236}">
                <a16:creationId xmlns:a16="http://schemas.microsoft.com/office/drawing/2014/main" id="{C8F96EA7-F4AD-5BA1-2029-3EF0F415DA5B}"/>
              </a:ext>
            </a:extLst>
          </xdr:cNvPr>
          <xdr:cNvGrpSpPr/>
        </xdr:nvGrpSpPr>
        <xdr:grpSpPr>
          <a:xfrm>
            <a:off x="2612242" y="1458485"/>
            <a:ext cx="1755360" cy="4853940"/>
            <a:chOff x="1386840" y="1036320"/>
            <a:chExt cx="1760220" cy="4991100"/>
          </a:xfrm>
        </xdr:grpSpPr>
        <xdr:sp macro="" textlink="">
          <xdr:nvSpPr>
            <xdr:cNvPr id="21" name="TextBox 20">
              <a:extLst>
                <a:ext uri="{FF2B5EF4-FFF2-40B4-BE49-F238E27FC236}">
                  <a16:creationId xmlns:a16="http://schemas.microsoft.com/office/drawing/2014/main" id="{4378C0E9-8554-ACED-7A48-7C99F52CF7F1}"/>
                </a:ext>
              </a:extLst>
            </xdr:cNvPr>
            <xdr:cNvSpPr txBox="1"/>
          </xdr:nvSpPr>
          <xdr:spPr>
            <a:xfrm>
              <a:off x="1775460" y="1036320"/>
              <a:ext cx="1371600" cy="1158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SALES</a:t>
              </a:r>
              <a:r>
                <a:rPr lang="en-US" sz="1400" b="1" baseline="0">
                  <a:solidFill>
                    <a:schemeClr val="bg1"/>
                  </a:solidFill>
                </a:rPr>
                <a:t> ANALYSIS </a:t>
              </a:r>
              <a:r>
                <a:rPr lang="en-US" sz="1600" b="1" baseline="0">
                  <a:solidFill>
                    <a:schemeClr val="accent1">
                      <a:lumMod val="60000"/>
                      <a:lumOff val="40000"/>
                    </a:schemeClr>
                  </a:solidFill>
                </a:rPr>
                <a:t>DASHBOARD</a:t>
              </a:r>
              <a:endParaRPr lang="en-US" sz="1600" b="1">
                <a:solidFill>
                  <a:schemeClr val="accent1">
                    <a:lumMod val="60000"/>
                    <a:lumOff val="40000"/>
                  </a:schemeClr>
                </a:solidFill>
              </a:endParaRPr>
            </a:p>
          </xdr:txBody>
        </xdr:sp>
        <xdr:grpSp>
          <xdr:nvGrpSpPr>
            <xdr:cNvPr id="4" name="Group 3">
              <a:extLst>
                <a:ext uri="{FF2B5EF4-FFF2-40B4-BE49-F238E27FC236}">
                  <a16:creationId xmlns:a16="http://schemas.microsoft.com/office/drawing/2014/main" id="{BF368380-ACB4-52C4-181C-BD27918F97C5}"/>
                </a:ext>
              </a:extLst>
            </xdr:cNvPr>
            <xdr:cNvGrpSpPr/>
          </xdr:nvGrpSpPr>
          <xdr:grpSpPr>
            <a:xfrm>
              <a:off x="1386840" y="2362200"/>
              <a:ext cx="1714500" cy="3665220"/>
              <a:chOff x="1386840" y="2362200"/>
              <a:chExt cx="1714500" cy="3665220"/>
            </a:xfrm>
          </xdr:grpSpPr>
          <xdr:sp macro="" textlink="">
            <xdr:nvSpPr>
              <xdr:cNvPr id="30" name="TextBox 29">
                <a:extLst>
                  <a:ext uri="{FF2B5EF4-FFF2-40B4-BE49-F238E27FC236}">
                    <a16:creationId xmlns:a16="http://schemas.microsoft.com/office/drawing/2014/main" id="{F724AB8B-AE77-880C-5364-70A7C6A3884D}"/>
                  </a:ext>
                </a:extLst>
              </xdr:cNvPr>
              <xdr:cNvSpPr txBox="1"/>
            </xdr:nvSpPr>
            <xdr:spPr>
              <a:xfrm>
                <a:off x="1386840" y="3291840"/>
                <a:ext cx="1714500" cy="746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200" b="1" i="0" baseline="0">
                    <a:solidFill>
                      <a:schemeClr val="bg1">
                        <a:lumMod val="65000"/>
                      </a:schemeClr>
                    </a:solidFill>
                    <a:effectLst/>
                    <a:latin typeface="+mn-lt"/>
                    <a:ea typeface="+mn-ea"/>
                    <a:cs typeface="+mn-cs"/>
                  </a:rPr>
                  <a:t>Sales By Product Category &amp; Subcategory </a:t>
                </a:r>
                <a:endParaRPr lang="en-US" sz="1200">
                  <a:solidFill>
                    <a:schemeClr val="bg1">
                      <a:lumMod val="65000"/>
                    </a:schemeClr>
                  </a:solidFill>
                  <a:effectLst/>
                </a:endParaRPr>
              </a:p>
              <a:p>
                <a:endParaRPr lang="en-US" sz="1100"/>
              </a:p>
            </xdr:txBody>
          </xdr:sp>
          <xdr:sp macro="" textlink="">
            <xdr:nvSpPr>
              <xdr:cNvPr id="33" name="TextBox 32">
                <a:extLst>
                  <a:ext uri="{FF2B5EF4-FFF2-40B4-BE49-F238E27FC236}">
                    <a16:creationId xmlns:a16="http://schemas.microsoft.com/office/drawing/2014/main" id="{D73FE771-6C0A-88C1-6355-9E2B61104335}"/>
                  </a:ext>
                </a:extLst>
              </xdr:cNvPr>
              <xdr:cNvSpPr txBox="1"/>
            </xdr:nvSpPr>
            <xdr:spPr>
              <a:xfrm>
                <a:off x="1516380" y="2362200"/>
                <a:ext cx="134874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2">
                        <a:lumMod val="40000"/>
                        <a:lumOff val="60000"/>
                      </a:schemeClr>
                    </a:solidFill>
                  </a:rPr>
                  <a:t>DASHBOARDS</a:t>
                </a:r>
              </a:p>
            </xdr:txBody>
          </xdr:sp>
          <xdr:sp macro="" textlink="">
            <xdr:nvSpPr>
              <xdr:cNvPr id="44" name="TextBox 43">
                <a:extLst>
                  <a:ext uri="{FF2B5EF4-FFF2-40B4-BE49-F238E27FC236}">
                    <a16:creationId xmlns:a16="http://schemas.microsoft.com/office/drawing/2014/main" id="{28522CE9-E6F6-ED91-B155-DD75B0AB31A3}"/>
                  </a:ext>
                </a:extLst>
              </xdr:cNvPr>
              <xdr:cNvSpPr txBox="1"/>
            </xdr:nvSpPr>
            <xdr:spPr>
              <a:xfrm>
                <a:off x="1455420" y="4465320"/>
                <a:ext cx="1592580" cy="624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lumMod val="65000"/>
                      </a:schemeClr>
                    </a:solidFill>
                  </a:rPr>
                  <a:t>Region</a:t>
                </a:r>
                <a:r>
                  <a:rPr lang="en-US" sz="1200" b="1" baseline="0">
                    <a:solidFill>
                      <a:schemeClr val="bg1">
                        <a:lumMod val="65000"/>
                      </a:schemeClr>
                    </a:solidFill>
                  </a:rPr>
                  <a:t> Vise Sales</a:t>
                </a:r>
                <a:endParaRPr lang="en-US" sz="1200" b="1">
                  <a:solidFill>
                    <a:schemeClr val="bg1">
                      <a:lumMod val="65000"/>
                    </a:schemeClr>
                  </a:solidFill>
                </a:endParaRPr>
              </a:p>
            </xdr:txBody>
          </xdr:sp>
          <xdr:sp macro="" textlink="">
            <xdr:nvSpPr>
              <xdr:cNvPr id="45" name="TextBox 44">
                <a:extLst>
                  <a:ext uri="{FF2B5EF4-FFF2-40B4-BE49-F238E27FC236}">
                    <a16:creationId xmlns:a16="http://schemas.microsoft.com/office/drawing/2014/main" id="{79C4269B-C934-BE7E-6F38-51A6B8941F92}"/>
                  </a:ext>
                </a:extLst>
              </xdr:cNvPr>
              <xdr:cNvSpPr txBox="1"/>
            </xdr:nvSpPr>
            <xdr:spPr>
              <a:xfrm>
                <a:off x="1508760" y="5425440"/>
                <a:ext cx="1234440" cy="601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bg1">
                        <a:lumMod val="65000"/>
                      </a:schemeClr>
                    </a:solidFill>
                    <a:effectLst/>
                    <a:latin typeface="+mn-lt"/>
                    <a:ea typeface="+mn-ea"/>
                    <a:cs typeface="+mn-cs"/>
                  </a:rPr>
                  <a:t>Trend</a:t>
                </a:r>
                <a:r>
                  <a:rPr lang="en-US" sz="1200" b="1" baseline="0">
                    <a:solidFill>
                      <a:schemeClr val="bg1">
                        <a:lumMod val="65000"/>
                      </a:schemeClr>
                    </a:solidFill>
                    <a:effectLst/>
                    <a:latin typeface="+mn-lt"/>
                    <a:ea typeface="+mn-ea"/>
                    <a:cs typeface="+mn-cs"/>
                  </a:rPr>
                  <a:t> analysis</a:t>
                </a:r>
                <a:endParaRPr lang="en-US" sz="1200" b="1">
                  <a:solidFill>
                    <a:schemeClr val="bg1">
                      <a:lumMod val="65000"/>
                    </a:schemeClr>
                  </a:solidFill>
                  <a:effectLst/>
                </a:endParaRPr>
              </a:p>
              <a:p>
                <a:endParaRPr lang="en-US" sz="1400">
                  <a:noFill/>
                </a:endParaRPr>
              </a:p>
            </xdr:txBody>
          </xdr:sp>
        </xdr:grpSp>
      </xdr:grpSp>
      <xdr:grpSp>
        <xdr:nvGrpSpPr>
          <xdr:cNvPr id="53" name="Group 52">
            <a:extLst>
              <a:ext uri="{FF2B5EF4-FFF2-40B4-BE49-F238E27FC236}">
                <a16:creationId xmlns:a16="http://schemas.microsoft.com/office/drawing/2014/main" id="{6216FDD3-73A4-1782-8362-5C94476C62B7}"/>
              </a:ext>
            </a:extLst>
          </xdr:cNvPr>
          <xdr:cNvGrpSpPr/>
        </xdr:nvGrpSpPr>
        <xdr:grpSpPr>
          <a:xfrm>
            <a:off x="1966330" y="2733565"/>
            <a:ext cx="547125" cy="3355340"/>
            <a:chOff x="777240" y="2407920"/>
            <a:chExt cx="548640" cy="3451860"/>
          </a:xfrm>
        </xdr:grpSpPr>
        <xdr:grpSp>
          <xdr:nvGrpSpPr>
            <xdr:cNvPr id="43" name="Group 42">
              <a:extLst>
                <a:ext uri="{FF2B5EF4-FFF2-40B4-BE49-F238E27FC236}">
                  <a16:creationId xmlns:a16="http://schemas.microsoft.com/office/drawing/2014/main" id="{37BF44FA-EA57-2149-C775-1543C88D5573}"/>
                </a:ext>
              </a:extLst>
            </xdr:cNvPr>
            <xdr:cNvGrpSpPr/>
          </xdr:nvGrpSpPr>
          <xdr:grpSpPr>
            <a:xfrm>
              <a:off x="857250" y="2407920"/>
              <a:ext cx="365760" cy="274320"/>
              <a:chOff x="8058150" y="5253990"/>
              <a:chExt cx="533400" cy="869129"/>
            </a:xfrm>
            <a:solidFill>
              <a:schemeClr val="bg1">
                <a:lumMod val="95000"/>
              </a:schemeClr>
            </a:solidFill>
          </xdr:grpSpPr>
          <xdr:sp macro="" textlink="">
            <xdr:nvSpPr>
              <xdr:cNvPr id="38" name="Rectangle 37">
                <a:extLst>
                  <a:ext uri="{FF2B5EF4-FFF2-40B4-BE49-F238E27FC236}">
                    <a16:creationId xmlns:a16="http://schemas.microsoft.com/office/drawing/2014/main" id="{B3D3CEF8-63D0-6928-2D69-51BA3EC75EC2}"/>
                  </a:ext>
                </a:extLst>
              </xdr:cNvPr>
              <xdr:cNvSpPr/>
            </xdr:nvSpPr>
            <xdr:spPr>
              <a:xfrm>
                <a:off x="8486775" y="5579913"/>
                <a:ext cx="104775" cy="543205"/>
              </a:xfrm>
              <a:prstGeom prst="rect">
                <a:avLst/>
              </a:prstGeom>
              <a:grpFill/>
              <a:ln w="9525" cap="flat">
                <a:noFill/>
                <a:prstDash val="solid"/>
                <a:miter/>
              </a:ln>
            </xdr:spPr>
          </xdr:sp>
          <xdr:sp macro="" textlink="">
            <xdr:nvSpPr>
              <xdr:cNvPr id="39" name="Rectangle 38">
                <a:extLst>
                  <a:ext uri="{FF2B5EF4-FFF2-40B4-BE49-F238E27FC236}">
                    <a16:creationId xmlns:a16="http://schemas.microsoft.com/office/drawing/2014/main" id="{FE60E4CE-2B8F-8847-84A0-CE2574B0BF18}"/>
                  </a:ext>
                </a:extLst>
              </xdr:cNvPr>
              <xdr:cNvSpPr/>
            </xdr:nvSpPr>
            <xdr:spPr>
              <a:xfrm>
                <a:off x="8343900" y="5253990"/>
                <a:ext cx="104775" cy="869128"/>
              </a:xfrm>
              <a:prstGeom prst="rect">
                <a:avLst/>
              </a:prstGeom>
              <a:grpFill/>
              <a:ln w="9525" cap="flat">
                <a:noFill/>
                <a:prstDash val="solid"/>
                <a:miter/>
              </a:ln>
            </xdr:spPr>
          </xdr:sp>
          <xdr:sp macro="" textlink="">
            <xdr:nvSpPr>
              <xdr:cNvPr id="40" name="Rectangle 39">
                <a:extLst>
                  <a:ext uri="{FF2B5EF4-FFF2-40B4-BE49-F238E27FC236}">
                    <a16:creationId xmlns:a16="http://schemas.microsoft.com/office/drawing/2014/main" id="{A96D711D-602E-658F-FBB6-9B5A56FA5898}"/>
                  </a:ext>
                </a:extLst>
              </xdr:cNvPr>
              <xdr:cNvSpPr/>
            </xdr:nvSpPr>
            <xdr:spPr>
              <a:xfrm>
                <a:off x="8201025" y="5579913"/>
                <a:ext cx="104775" cy="543205"/>
              </a:xfrm>
              <a:prstGeom prst="rect">
                <a:avLst/>
              </a:prstGeom>
              <a:grpFill/>
              <a:ln w="9525" cap="flat">
                <a:noFill/>
                <a:prstDash val="solid"/>
                <a:miter/>
              </a:ln>
            </xdr:spPr>
          </xdr:sp>
          <xdr:sp macro="" textlink="">
            <xdr:nvSpPr>
              <xdr:cNvPr id="41" name="Rectangle 40">
                <a:extLst>
                  <a:ext uri="{FF2B5EF4-FFF2-40B4-BE49-F238E27FC236}">
                    <a16:creationId xmlns:a16="http://schemas.microsoft.com/office/drawing/2014/main" id="{22A3D99C-A425-03C0-F1E0-53C5051C4098}"/>
                  </a:ext>
                </a:extLst>
              </xdr:cNvPr>
              <xdr:cNvSpPr/>
            </xdr:nvSpPr>
            <xdr:spPr>
              <a:xfrm>
                <a:off x="8058150" y="5843756"/>
                <a:ext cx="104775" cy="279363"/>
              </a:xfrm>
              <a:prstGeom prst="rect">
                <a:avLst/>
              </a:prstGeom>
              <a:grpFill/>
              <a:ln w="9525" cap="flat">
                <a:noFill/>
                <a:prstDash val="solid"/>
                <a:miter/>
              </a:ln>
            </xdr:spPr>
          </xdr:sp>
        </xdr:grpSp>
        <xdr:sp macro="" textlink="">
          <xdr:nvSpPr>
            <xdr:cNvPr id="46" name="Star: 5 Points 45">
              <a:extLst>
                <a:ext uri="{FF2B5EF4-FFF2-40B4-BE49-F238E27FC236}">
                  <a16:creationId xmlns:a16="http://schemas.microsoft.com/office/drawing/2014/main" id="{1A0C7B5C-17F8-2349-AF9F-CE071D841BF4}"/>
                </a:ext>
              </a:extLst>
            </xdr:cNvPr>
            <xdr:cNvSpPr/>
          </xdr:nvSpPr>
          <xdr:spPr>
            <a:xfrm>
              <a:off x="914400" y="3505200"/>
              <a:ext cx="213360" cy="160020"/>
            </a:xfrm>
            <a:prstGeom prst="star5">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Star: 5 Points 46">
              <a:extLst>
                <a:ext uri="{FF2B5EF4-FFF2-40B4-BE49-F238E27FC236}">
                  <a16:creationId xmlns:a16="http://schemas.microsoft.com/office/drawing/2014/main" id="{44A8A636-44F7-41F0-9D58-730E8F7C5AA0}"/>
                </a:ext>
              </a:extLst>
            </xdr:cNvPr>
            <xdr:cNvSpPr/>
          </xdr:nvSpPr>
          <xdr:spPr>
            <a:xfrm>
              <a:off x="922020" y="4632960"/>
              <a:ext cx="213360" cy="160020"/>
            </a:xfrm>
            <a:prstGeom prst="star5">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1" name="Graphic 50" descr="Downward trend graph with solid fill">
              <a:extLst>
                <a:ext uri="{FF2B5EF4-FFF2-40B4-BE49-F238E27FC236}">
                  <a16:creationId xmlns:a16="http://schemas.microsoft.com/office/drawing/2014/main" id="{C1C5C1DB-0F1B-57AB-1AC9-10C0A3846A7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77240" y="5311140"/>
              <a:ext cx="548640" cy="548640"/>
            </a:xfrm>
            <a:prstGeom prst="rect">
              <a:avLst/>
            </a:prstGeom>
          </xdr:spPr>
        </xdr:pic>
      </xdr:grpSp>
      <xdr:grpSp>
        <xdr:nvGrpSpPr>
          <xdr:cNvPr id="35" name="Group 34">
            <a:extLst>
              <a:ext uri="{FF2B5EF4-FFF2-40B4-BE49-F238E27FC236}">
                <a16:creationId xmlns:a16="http://schemas.microsoft.com/office/drawing/2014/main" id="{75E6AE2F-FFDF-D4F3-B5E6-C9B41100E62A}"/>
              </a:ext>
            </a:extLst>
          </xdr:cNvPr>
          <xdr:cNvGrpSpPr/>
        </xdr:nvGrpSpPr>
        <xdr:grpSpPr>
          <a:xfrm>
            <a:off x="7357741" y="1868914"/>
            <a:ext cx="10981807" cy="2381724"/>
            <a:chOff x="4617720" y="1816887"/>
            <a:chExt cx="5318760" cy="2076933"/>
          </a:xfrm>
        </xdr:grpSpPr>
        <xdr:graphicFrame macro="">
          <xdr:nvGraphicFramePr>
            <xdr:cNvPr id="62" name="Chart 61">
              <a:extLst>
                <a:ext uri="{FF2B5EF4-FFF2-40B4-BE49-F238E27FC236}">
                  <a16:creationId xmlns:a16="http://schemas.microsoft.com/office/drawing/2014/main" id="{99D97667-9CB4-46C0-B016-7D8144F265F9}"/>
                </a:ext>
              </a:extLst>
            </xdr:cNvPr>
            <xdr:cNvGraphicFramePr>
              <a:graphicFrameLocks/>
            </xdr:cNvGraphicFramePr>
          </xdr:nvGraphicFramePr>
          <xdr:xfrm>
            <a:off x="4617720" y="2026920"/>
            <a:ext cx="5318760" cy="1866900"/>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5" name="TextBox 4">
              <a:extLst>
                <a:ext uri="{FF2B5EF4-FFF2-40B4-BE49-F238E27FC236}">
                  <a16:creationId xmlns:a16="http://schemas.microsoft.com/office/drawing/2014/main" id="{5F547262-54F2-09D8-0284-362465FB0F69}"/>
                </a:ext>
              </a:extLst>
            </xdr:cNvPr>
            <xdr:cNvSpPr txBox="1"/>
          </xdr:nvSpPr>
          <xdr:spPr>
            <a:xfrm>
              <a:off x="5025178" y="1816887"/>
              <a:ext cx="40614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600" b="1" i="0" cap="none" spc="0" baseline="0">
                  <a:ln>
                    <a:noFill/>
                  </a:ln>
                  <a:solidFill>
                    <a:schemeClr val="accent1">
                      <a:lumMod val="40000"/>
                      <a:lumOff val="60000"/>
                    </a:schemeClr>
                  </a:solidFill>
                  <a:effectLst/>
                  <a:latin typeface="+mn-lt"/>
                  <a:ea typeface="+mn-ea"/>
                  <a:cs typeface="+mn-cs"/>
                </a:rPr>
                <a:t>SALES BY PRODUCT CATEGORY &amp; SUBCATEGORY </a:t>
              </a:r>
              <a:endParaRPr lang="en-US" sz="1600" b="1" cap="none" spc="0">
                <a:ln>
                  <a:noFill/>
                </a:ln>
                <a:solidFill>
                  <a:schemeClr val="accent1">
                    <a:lumMod val="40000"/>
                    <a:lumOff val="60000"/>
                  </a:schemeClr>
                </a:solidFill>
                <a:effectLst/>
              </a:endParaRPr>
            </a:p>
            <a:p>
              <a:endParaRPr lang="en-US" sz="1100">
                <a:solidFill>
                  <a:srgbClr val="000000"/>
                </a:solidFill>
              </a:endParaRPr>
            </a:p>
          </xdr:txBody>
        </xdr:sp>
      </xdr:grpSp>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D55C4953-063B-44D7-9927-5FB9F0FAE63C}"/>
                  </a:ext>
                </a:extLst>
              </xdr:cNvPr>
              <xdr:cNvGraphicFramePr/>
            </xdr:nvGraphicFramePr>
            <xdr:xfrm>
              <a:off x="4927390" y="836712"/>
              <a:ext cx="2172356" cy="919142"/>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473490" y="874812"/>
                <a:ext cx="2172356" cy="9191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 name="Product Category">
                <a:extLst>
                  <a:ext uri="{FF2B5EF4-FFF2-40B4-BE49-F238E27FC236}">
                    <a16:creationId xmlns:a16="http://schemas.microsoft.com/office/drawing/2014/main" id="{47909811-64E4-40B1-8A21-B110C3C8A24A}"/>
                  </a:ext>
                </a:extLst>
              </xdr:cNvPr>
              <xdr:cNvGraphicFramePr/>
            </xdr:nvGraphicFramePr>
            <xdr:xfrm>
              <a:off x="7121111" y="813947"/>
              <a:ext cx="2874981" cy="981539"/>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7667211" y="852047"/>
                <a:ext cx="2874981" cy="9815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5" name="Month">
                <a:extLst>
                  <a:ext uri="{FF2B5EF4-FFF2-40B4-BE49-F238E27FC236}">
                    <a16:creationId xmlns:a16="http://schemas.microsoft.com/office/drawing/2014/main" id="{190829B2-325C-4352-88B8-59AD77FB7856}"/>
                  </a:ext>
                </a:extLst>
              </xdr:cNvPr>
              <xdr:cNvGraphicFramePr/>
            </xdr:nvGraphicFramePr>
            <xdr:xfrm>
              <a:off x="9942898" y="816080"/>
              <a:ext cx="6685020" cy="916811"/>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0488998" y="854180"/>
                <a:ext cx="6685020" cy="9168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31" name="Group 30">
            <a:extLst>
              <a:ext uri="{FF2B5EF4-FFF2-40B4-BE49-F238E27FC236}">
                <a16:creationId xmlns:a16="http://schemas.microsoft.com/office/drawing/2014/main" id="{4B701E6C-197C-F862-A8E0-FF65992EFD80}"/>
              </a:ext>
            </a:extLst>
          </xdr:cNvPr>
          <xdr:cNvGrpSpPr/>
        </xdr:nvGrpSpPr>
        <xdr:grpSpPr>
          <a:xfrm>
            <a:off x="4988475" y="2182749"/>
            <a:ext cx="2188731" cy="1158960"/>
            <a:chOff x="4741232" y="823053"/>
            <a:chExt cx="2198771" cy="1373172"/>
          </a:xfrm>
        </xdr:grpSpPr>
        <xdr:sp macro="" textlink="">
          <xdr:nvSpPr>
            <xdr:cNvPr id="14" name="Rectangle: Rounded Corners 13">
              <a:extLst>
                <a:ext uri="{FF2B5EF4-FFF2-40B4-BE49-F238E27FC236}">
                  <a16:creationId xmlns:a16="http://schemas.microsoft.com/office/drawing/2014/main" id="{B55EA05B-1E6A-1B53-236F-23B600F24275}"/>
                </a:ext>
              </a:extLst>
            </xdr:cNvPr>
            <xdr:cNvSpPr/>
          </xdr:nvSpPr>
          <xdr:spPr>
            <a:xfrm>
              <a:off x="4741232" y="823053"/>
              <a:ext cx="2198771" cy="1373172"/>
            </a:xfrm>
            <a:prstGeom prst="roundRect">
              <a:avLst/>
            </a:prstGeom>
            <a:gradFill flip="none" rotWithShape="1">
              <a:gsLst>
                <a:gs pos="98000">
                  <a:srgbClr val="023554"/>
                </a:gs>
                <a:gs pos="97000">
                  <a:srgbClr val="023554"/>
                </a:gs>
                <a:gs pos="27000">
                  <a:srgbClr val="023554"/>
                </a:gs>
                <a:gs pos="76000">
                  <a:srgbClr val="92D050"/>
                </a:gs>
              </a:gsLst>
              <a:lin ang="13500000" scaled="1"/>
              <a:tileRect/>
            </a:gradFill>
            <a:effectLst>
              <a:outerShdw blurRad="88900" sx="104000" sy="104000" algn="ctr" rotWithShape="0">
                <a:srgbClr val="000000">
                  <a:alpha val="1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extLst>
                <a:ext uri="{FF2B5EF4-FFF2-40B4-BE49-F238E27FC236}">
                  <a16:creationId xmlns:a16="http://schemas.microsoft.com/office/drawing/2014/main" id="{2EC628FF-EAB9-F378-5460-A049BDD8E15B}"/>
                </a:ext>
              </a:extLst>
            </xdr:cNvPr>
            <xdr:cNvSpPr txBox="1"/>
          </xdr:nvSpPr>
          <xdr:spPr>
            <a:xfrm>
              <a:off x="5052838" y="1068767"/>
              <a:ext cx="14782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Total Sales</a:t>
              </a:r>
            </a:p>
          </xdr:txBody>
        </xdr:sp>
        <xdr:sp macro="" textlink="AQ19">
          <xdr:nvSpPr>
            <xdr:cNvPr id="20" name="TextBox 19">
              <a:extLst>
                <a:ext uri="{FF2B5EF4-FFF2-40B4-BE49-F238E27FC236}">
                  <a16:creationId xmlns:a16="http://schemas.microsoft.com/office/drawing/2014/main" id="{76EEDEC8-ACD0-2D4A-E0D0-0AD998606FE5}"/>
                </a:ext>
              </a:extLst>
            </xdr:cNvPr>
            <xdr:cNvSpPr txBox="1"/>
          </xdr:nvSpPr>
          <xdr:spPr>
            <a:xfrm>
              <a:off x="5206001" y="1523637"/>
              <a:ext cx="1496294" cy="510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3C1F4FD-D9B4-4435-B041-3E0D535A3452}" type="TxLink">
                <a:rPr lang="en-US" sz="1600" b="0" i="0" u="none" strike="noStrike">
                  <a:solidFill>
                    <a:srgbClr val="FFFF00"/>
                  </a:solidFill>
                  <a:effectLst/>
                  <a:latin typeface="Aptos Narrow"/>
                </a:rPr>
                <a:pPr algn="ctr"/>
                <a:t>₹ 5,214,767.92</a:t>
              </a:fld>
              <a:endParaRPr lang="en-US" sz="1600">
                <a:solidFill>
                  <a:srgbClr val="FFFF00"/>
                </a:solidFill>
              </a:endParaRPr>
            </a:p>
          </xdr:txBody>
        </xdr:sp>
      </xdr:grpSp>
      <xdr:grpSp>
        <xdr:nvGrpSpPr>
          <xdr:cNvPr id="32" name="Group 31">
            <a:extLst>
              <a:ext uri="{FF2B5EF4-FFF2-40B4-BE49-F238E27FC236}">
                <a16:creationId xmlns:a16="http://schemas.microsoft.com/office/drawing/2014/main" id="{AF06885B-1A66-8C2C-D4D2-97F433CDF1A1}"/>
              </a:ext>
            </a:extLst>
          </xdr:cNvPr>
          <xdr:cNvGrpSpPr/>
        </xdr:nvGrpSpPr>
        <xdr:grpSpPr>
          <a:xfrm>
            <a:off x="4985079" y="3635586"/>
            <a:ext cx="2190105" cy="1154854"/>
            <a:chOff x="7195828" y="1125809"/>
            <a:chExt cx="2202296" cy="1372684"/>
          </a:xfrm>
        </xdr:grpSpPr>
        <xdr:sp macro="" textlink="">
          <xdr:nvSpPr>
            <xdr:cNvPr id="17" name="Rectangle: Rounded Corners 16">
              <a:extLst>
                <a:ext uri="{FF2B5EF4-FFF2-40B4-BE49-F238E27FC236}">
                  <a16:creationId xmlns:a16="http://schemas.microsoft.com/office/drawing/2014/main" id="{C1C7D332-5D03-45B3-828D-807AD86563B8}"/>
                </a:ext>
              </a:extLst>
            </xdr:cNvPr>
            <xdr:cNvSpPr/>
          </xdr:nvSpPr>
          <xdr:spPr>
            <a:xfrm>
              <a:off x="7195828" y="1125809"/>
              <a:ext cx="2202296" cy="1372684"/>
            </a:xfrm>
            <a:prstGeom prst="roundRect">
              <a:avLst/>
            </a:prstGeom>
            <a:gradFill flip="none" rotWithShape="1">
              <a:gsLst>
                <a:gs pos="98000">
                  <a:srgbClr val="023554"/>
                </a:gs>
                <a:gs pos="97000">
                  <a:srgbClr val="023554"/>
                </a:gs>
                <a:gs pos="27000">
                  <a:srgbClr val="023554"/>
                </a:gs>
                <a:gs pos="76000">
                  <a:srgbClr val="92D050"/>
                </a:gs>
              </a:gsLst>
              <a:lin ang="13500000" scaled="1"/>
              <a:tileRect/>
            </a:gradFill>
            <a:effectLst>
              <a:outerShdw blurRad="88900" sx="104000" sy="104000" algn="ctr" rotWithShape="0">
                <a:srgbClr val="000000">
                  <a:alpha val="1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TextBox 21">
              <a:extLst>
                <a:ext uri="{FF2B5EF4-FFF2-40B4-BE49-F238E27FC236}">
                  <a16:creationId xmlns:a16="http://schemas.microsoft.com/office/drawing/2014/main" id="{D450391D-724E-A773-DF48-6EBC82F0856B}"/>
                </a:ext>
              </a:extLst>
            </xdr:cNvPr>
            <xdr:cNvSpPr txBox="1"/>
          </xdr:nvSpPr>
          <xdr:spPr>
            <a:xfrm>
              <a:off x="7453998" y="1372520"/>
              <a:ext cx="168402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Minimum Sales</a:t>
              </a:r>
            </a:p>
          </xdr:txBody>
        </xdr:sp>
        <xdr:sp macro="" textlink="$AI$21">
          <xdr:nvSpPr>
            <xdr:cNvPr id="23" name="TextBox 22">
              <a:extLst>
                <a:ext uri="{FF2B5EF4-FFF2-40B4-BE49-F238E27FC236}">
                  <a16:creationId xmlns:a16="http://schemas.microsoft.com/office/drawing/2014/main" id="{B4CB5704-1F29-E4EA-24EE-9CE9C99F6974}"/>
                </a:ext>
              </a:extLst>
            </xdr:cNvPr>
            <xdr:cNvSpPr txBox="1"/>
          </xdr:nvSpPr>
          <xdr:spPr>
            <a:xfrm>
              <a:off x="7506605" y="1837686"/>
              <a:ext cx="1584960" cy="418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F4EE6D4-5103-40D9-90BD-E4379423C588}" type="TxLink">
                <a:rPr lang="en-US" sz="1600" b="0" i="0" u="none" strike="noStrike">
                  <a:solidFill>
                    <a:srgbClr val="FFFF00"/>
                  </a:solidFill>
                  <a:effectLst/>
                  <a:latin typeface="Aptos Narrow"/>
                  <a:ea typeface="+mn-ea"/>
                  <a:cs typeface="+mn-cs"/>
                </a:rPr>
                <a:t>105.48</a:t>
              </a:fld>
              <a:endParaRPr lang="en-US" sz="1600">
                <a:solidFill>
                  <a:srgbClr val="FFFF00"/>
                </a:solidFill>
              </a:endParaRPr>
            </a:p>
          </xdr:txBody>
        </xdr:sp>
      </xdr:grpSp>
      <xdr:grpSp>
        <xdr:nvGrpSpPr>
          <xdr:cNvPr id="34" name="Group 33">
            <a:extLst>
              <a:ext uri="{FF2B5EF4-FFF2-40B4-BE49-F238E27FC236}">
                <a16:creationId xmlns:a16="http://schemas.microsoft.com/office/drawing/2014/main" id="{C9D80147-D73E-D0C9-8735-888475E9472D}"/>
              </a:ext>
            </a:extLst>
          </xdr:cNvPr>
          <xdr:cNvGrpSpPr/>
        </xdr:nvGrpSpPr>
        <xdr:grpSpPr>
          <a:xfrm>
            <a:off x="5022518" y="5101598"/>
            <a:ext cx="2179381" cy="1257873"/>
            <a:chOff x="9401910" y="1365848"/>
            <a:chExt cx="2042160" cy="1269950"/>
          </a:xfrm>
        </xdr:grpSpPr>
        <xdr:sp macro="" textlink="">
          <xdr:nvSpPr>
            <xdr:cNvPr id="18" name="Rectangle: Rounded Corners 17">
              <a:extLst>
                <a:ext uri="{FF2B5EF4-FFF2-40B4-BE49-F238E27FC236}">
                  <a16:creationId xmlns:a16="http://schemas.microsoft.com/office/drawing/2014/main" id="{7A050EAC-66D9-4E94-87C0-368B05A0918E}"/>
                </a:ext>
              </a:extLst>
            </xdr:cNvPr>
            <xdr:cNvSpPr/>
          </xdr:nvSpPr>
          <xdr:spPr>
            <a:xfrm>
              <a:off x="9401910" y="1365848"/>
              <a:ext cx="2042160" cy="1269950"/>
            </a:xfrm>
            <a:prstGeom prst="roundRect">
              <a:avLst/>
            </a:prstGeom>
            <a:gradFill flip="none" rotWithShape="1">
              <a:gsLst>
                <a:gs pos="98000">
                  <a:srgbClr val="023554"/>
                </a:gs>
                <a:gs pos="100000">
                  <a:schemeClr val="accent5"/>
                </a:gs>
                <a:gs pos="38000">
                  <a:srgbClr val="8F8987"/>
                </a:gs>
                <a:gs pos="14000">
                  <a:srgbClr val="FFC000"/>
                </a:gs>
                <a:gs pos="76000">
                  <a:schemeClr val="accent2">
                    <a:lumMod val="40000"/>
                    <a:lumOff val="60000"/>
                  </a:schemeClr>
                </a:gs>
              </a:gsLst>
              <a:lin ang="13500000" scaled="1"/>
              <a:tileRect/>
            </a:gradFill>
            <a:effectLst>
              <a:outerShdw blurRad="88900" sx="104000" sy="104000" algn="ctr" rotWithShape="0">
                <a:srgbClr val="000000">
                  <a:alpha val="1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24" name="TextBox 23">
              <a:extLst>
                <a:ext uri="{FF2B5EF4-FFF2-40B4-BE49-F238E27FC236}">
                  <a16:creationId xmlns:a16="http://schemas.microsoft.com/office/drawing/2014/main" id="{5E9A769E-E42B-52FB-2842-4C0582C0789B}"/>
                </a:ext>
              </a:extLst>
            </xdr:cNvPr>
            <xdr:cNvSpPr txBox="1"/>
          </xdr:nvSpPr>
          <xdr:spPr>
            <a:xfrm>
              <a:off x="9544903" y="1664896"/>
              <a:ext cx="1790700" cy="2729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tx1"/>
                  </a:solidFill>
                </a:rPr>
                <a:t>Maximum Sales</a:t>
              </a:r>
            </a:p>
          </xdr:txBody>
        </xdr:sp>
        <xdr:sp macro="" textlink="">
          <xdr:nvSpPr>
            <xdr:cNvPr id="26" name="TextBox 25">
              <a:extLst>
                <a:ext uri="{FF2B5EF4-FFF2-40B4-BE49-F238E27FC236}">
                  <a16:creationId xmlns:a16="http://schemas.microsoft.com/office/drawing/2014/main" id="{3D4CC0E8-27B9-FE55-2B7D-3DB5FE2C9245}"/>
                </a:ext>
              </a:extLst>
            </xdr:cNvPr>
            <xdr:cNvSpPr txBox="1"/>
          </xdr:nvSpPr>
          <xdr:spPr>
            <a:xfrm>
              <a:off x="9667389" y="2035705"/>
              <a:ext cx="1477966"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i="0" u="none" strike="noStrike">
                  <a:solidFill>
                    <a:schemeClr val="accent5">
                      <a:lumMod val="50000"/>
                    </a:schemeClr>
                  </a:solidFill>
                  <a:effectLst/>
                  <a:latin typeface="+mn-lt"/>
                  <a:ea typeface="+mn-ea"/>
                  <a:cs typeface="+mn-cs"/>
                </a:rPr>
                <a:t>9997.23</a:t>
              </a:r>
              <a:r>
                <a:rPr lang="en-US" sz="1600" b="1">
                  <a:solidFill>
                    <a:schemeClr val="accent5">
                      <a:lumMod val="50000"/>
                    </a:schemeClr>
                  </a:solidFill>
                  <a:effectLst/>
                </a:rPr>
                <a:t> </a:t>
              </a:r>
              <a:endParaRPr lang="en-US" sz="1600" b="1">
                <a:solidFill>
                  <a:schemeClr val="accent5">
                    <a:lumMod val="50000"/>
                  </a:schemeClr>
                </a:solidFill>
              </a:endParaRPr>
            </a:p>
          </xdr:txBody>
        </xdr:sp>
      </xdr:grpSp>
      <xdr:grpSp>
        <xdr:nvGrpSpPr>
          <xdr:cNvPr id="57" name="Group 56">
            <a:extLst>
              <a:ext uri="{FF2B5EF4-FFF2-40B4-BE49-F238E27FC236}">
                <a16:creationId xmlns:a16="http://schemas.microsoft.com/office/drawing/2014/main" id="{229540C4-CFC3-42A4-ACC0-FBC03B845A23}"/>
              </a:ext>
            </a:extLst>
          </xdr:cNvPr>
          <xdr:cNvGrpSpPr/>
        </xdr:nvGrpSpPr>
        <xdr:grpSpPr>
          <a:xfrm>
            <a:off x="4946167" y="6576181"/>
            <a:ext cx="2491273" cy="1703119"/>
            <a:chOff x="3384328" y="6162348"/>
            <a:chExt cx="2498172" cy="1570827"/>
          </a:xfrm>
        </xdr:grpSpPr>
        <xdr:sp macro="" textlink="">
          <xdr:nvSpPr>
            <xdr:cNvPr id="19" name="Rectangle: Rounded Corners 18">
              <a:extLst>
                <a:ext uri="{FF2B5EF4-FFF2-40B4-BE49-F238E27FC236}">
                  <a16:creationId xmlns:a16="http://schemas.microsoft.com/office/drawing/2014/main" id="{F3DA694A-CC64-4C2F-8CE2-0AA9A0023A59}"/>
                </a:ext>
              </a:extLst>
            </xdr:cNvPr>
            <xdr:cNvSpPr/>
          </xdr:nvSpPr>
          <xdr:spPr>
            <a:xfrm>
              <a:off x="3465107" y="6225497"/>
              <a:ext cx="2187870" cy="1355026"/>
            </a:xfrm>
            <a:prstGeom prst="roundRect">
              <a:avLst/>
            </a:prstGeom>
            <a:gradFill flip="none" rotWithShape="1">
              <a:gsLst>
                <a:gs pos="98000">
                  <a:srgbClr val="023554"/>
                </a:gs>
                <a:gs pos="100000">
                  <a:schemeClr val="accent5"/>
                </a:gs>
                <a:gs pos="38000">
                  <a:srgbClr val="8F8987"/>
                </a:gs>
                <a:gs pos="14000">
                  <a:srgbClr val="FFC000"/>
                </a:gs>
                <a:gs pos="76000">
                  <a:schemeClr val="accent2">
                    <a:lumMod val="40000"/>
                    <a:lumOff val="60000"/>
                  </a:schemeClr>
                </a:gs>
              </a:gsLst>
              <a:lin ang="13500000" scaled="1"/>
              <a:tileRect/>
            </a:gradFill>
            <a:effectLst>
              <a:outerShdw blurRad="88900" sx="104000" sy="104000" algn="ctr" rotWithShape="0">
                <a:srgbClr val="000000">
                  <a:alpha val="18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8" name="Chart 27">
              <a:extLst>
                <a:ext uri="{FF2B5EF4-FFF2-40B4-BE49-F238E27FC236}">
                  <a16:creationId xmlns:a16="http://schemas.microsoft.com/office/drawing/2014/main" id="{65EFEFA4-F4C0-401A-9157-64546FB7DCA5}"/>
                </a:ext>
              </a:extLst>
            </xdr:cNvPr>
            <xdr:cNvGraphicFramePr>
              <a:graphicFrameLocks/>
            </xdr:cNvGraphicFramePr>
          </xdr:nvGraphicFramePr>
          <xdr:xfrm>
            <a:off x="3384328" y="6162348"/>
            <a:ext cx="2498172" cy="1570827"/>
          </xdr:xfrm>
          <a:graphic>
            <a:graphicData uri="http://schemas.openxmlformats.org/drawingml/2006/chart">
              <c:chart xmlns:c="http://schemas.openxmlformats.org/drawingml/2006/chart" xmlns:r="http://schemas.openxmlformats.org/officeDocument/2006/relationships" r:id="rId6"/>
            </a:graphicData>
          </a:graphic>
        </xdr:graphicFrame>
      </xdr:grpSp>
      <xdr:sp macro="" textlink="">
        <xdr:nvSpPr>
          <xdr:cNvPr id="3" name="Rectangle: Rounded Corners 2">
            <a:extLst>
              <a:ext uri="{FF2B5EF4-FFF2-40B4-BE49-F238E27FC236}">
                <a16:creationId xmlns:a16="http://schemas.microsoft.com/office/drawing/2014/main" id="{B0DB4462-51A8-C518-61B4-D4874D4D42D3}"/>
              </a:ext>
            </a:extLst>
          </xdr:cNvPr>
          <xdr:cNvSpPr/>
        </xdr:nvSpPr>
        <xdr:spPr>
          <a:xfrm>
            <a:off x="4914725" y="816080"/>
            <a:ext cx="2210781" cy="901915"/>
          </a:xfrm>
          <a:prstGeom prst="roundRect">
            <a:avLst/>
          </a:prstGeom>
          <a:noFill/>
          <a:ln>
            <a:solidFill>
              <a:schemeClr val="accent3">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Rounded Corners 6">
            <a:extLst>
              <a:ext uri="{FF2B5EF4-FFF2-40B4-BE49-F238E27FC236}">
                <a16:creationId xmlns:a16="http://schemas.microsoft.com/office/drawing/2014/main" id="{43C89868-6E1D-DF4E-CE92-D9B50E8CB87E}"/>
              </a:ext>
            </a:extLst>
          </xdr:cNvPr>
          <xdr:cNvSpPr/>
        </xdr:nvSpPr>
        <xdr:spPr>
          <a:xfrm>
            <a:off x="7142950" y="816080"/>
            <a:ext cx="2789491" cy="966492"/>
          </a:xfrm>
          <a:prstGeom prst="roundRect">
            <a:avLst/>
          </a:prstGeom>
          <a:noFill/>
          <a:ln>
            <a:solidFill>
              <a:schemeClr val="accent3">
                <a:lumMod val="50000"/>
              </a:schemeClr>
            </a:solid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Rectangle: Rounded Corners 36">
            <a:extLst>
              <a:ext uri="{FF2B5EF4-FFF2-40B4-BE49-F238E27FC236}">
                <a16:creationId xmlns:a16="http://schemas.microsoft.com/office/drawing/2014/main" id="{A10F1692-E26C-00B9-4027-77209DEDFC5C}"/>
              </a:ext>
            </a:extLst>
          </xdr:cNvPr>
          <xdr:cNvSpPr/>
        </xdr:nvSpPr>
        <xdr:spPr>
          <a:xfrm>
            <a:off x="9920376" y="841911"/>
            <a:ext cx="6685020" cy="927746"/>
          </a:xfrm>
          <a:prstGeom prst="roundRect">
            <a:avLst/>
          </a:prstGeom>
          <a:noFill/>
          <a:effectLst>
            <a:innerShdw blurRad="63500" dist="50800" dir="189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2" name="Rectangle: Rounded Corners 41">
            <a:extLst>
              <a:ext uri="{FF2B5EF4-FFF2-40B4-BE49-F238E27FC236}">
                <a16:creationId xmlns:a16="http://schemas.microsoft.com/office/drawing/2014/main" id="{081B5695-C846-C6F5-0136-B7F8DA673140}"/>
              </a:ext>
            </a:extLst>
          </xdr:cNvPr>
          <xdr:cNvSpPr/>
        </xdr:nvSpPr>
        <xdr:spPr>
          <a:xfrm>
            <a:off x="7308396" y="1869965"/>
            <a:ext cx="11221125" cy="2375976"/>
          </a:xfrm>
          <a:prstGeom prst="roundRect">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grpSp>
        <xdr:nvGrpSpPr>
          <xdr:cNvPr id="54" name="Group 53">
            <a:extLst>
              <a:ext uri="{FF2B5EF4-FFF2-40B4-BE49-F238E27FC236}">
                <a16:creationId xmlns:a16="http://schemas.microsoft.com/office/drawing/2014/main" id="{31B48A15-9260-84AD-8DAA-233AFAC25D33}"/>
              </a:ext>
            </a:extLst>
          </xdr:cNvPr>
          <xdr:cNvGrpSpPr/>
        </xdr:nvGrpSpPr>
        <xdr:grpSpPr>
          <a:xfrm>
            <a:off x="5152123" y="4144558"/>
            <a:ext cx="13997982" cy="1980917"/>
            <a:chOff x="5385352" y="3633493"/>
            <a:chExt cx="10825876" cy="1980917"/>
          </a:xfrm>
        </xdr:grpSpPr>
        <xdr:graphicFrame macro="">
          <xdr:nvGraphicFramePr>
            <xdr:cNvPr id="6" name="Chart 5">
              <a:extLst>
                <a:ext uri="{FF2B5EF4-FFF2-40B4-BE49-F238E27FC236}">
                  <a16:creationId xmlns:a16="http://schemas.microsoft.com/office/drawing/2014/main" id="{E1B9A802-0A58-4231-B652-1B9A32B31603}"/>
                </a:ext>
              </a:extLst>
            </xdr:cNvPr>
            <xdr:cNvGraphicFramePr>
              <a:graphicFrameLocks/>
            </xdr:cNvGraphicFramePr>
          </xdr:nvGraphicFramePr>
          <xdr:xfrm>
            <a:off x="5385352" y="3633493"/>
            <a:ext cx="10825876" cy="1980917"/>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48" name="Rectangle: Rounded Corners 47">
              <a:extLst>
                <a:ext uri="{FF2B5EF4-FFF2-40B4-BE49-F238E27FC236}">
                  <a16:creationId xmlns:a16="http://schemas.microsoft.com/office/drawing/2014/main" id="{6706A9DD-5F04-4A6B-E61F-24324917E7C1}"/>
                </a:ext>
              </a:extLst>
            </xdr:cNvPr>
            <xdr:cNvSpPr/>
          </xdr:nvSpPr>
          <xdr:spPr>
            <a:xfrm>
              <a:off x="7105973" y="3837122"/>
              <a:ext cx="8624806" cy="1674678"/>
            </a:xfrm>
            <a:prstGeom prst="roundRect">
              <a:avLst/>
            </a:prstGeom>
            <a:noFill/>
            <a:effectLst>
              <a:innerShdw blurRad="63500" dist="50800" dir="16200000">
                <a:prstClr val="black">
                  <a:alpha val="50000"/>
                </a:prstClr>
              </a:innerShdw>
              <a:reflection blurRad="6350" stA="50000" endA="300" endPos="38500" dist="50800" dir="5400000" sy="-100000" algn="bl" rotWithShape="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55" name="Group 54">
            <a:extLst>
              <a:ext uri="{FF2B5EF4-FFF2-40B4-BE49-F238E27FC236}">
                <a16:creationId xmlns:a16="http://schemas.microsoft.com/office/drawing/2014/main" id="{05AAE12B-6B03-66E8-E65A-4345BD10411E}"/>
              </a:ext>
            </a:extLst>
          </xdr:cNvPr>
          <xdr:cNvGrpSpPr/>
        </xdr:nvGrpSpPr>
        <xdr:grpSpPr>
          <a:xfrm>
            <a:off x="7346391" y="6002311"/>
            <a:ext cx="11183131" cy="2016177"/>
            <a:chOff x="5809281" y="5554746"/>
            <a:chExt cx="6498956" cy="2016177"/>
          </a:xfrm>
        </xdr:grpSpPr>
        <xdr:graphicFrame macro="">
          <xdr:nvGraphicFramePr>
            <xdr:cNvPr id="2" name="Chart 1">
              <a:extLst>
                <a:ext uri="{FF2B5EF4-FFF2-40B4-BE49-F238E27FC236}">
                  <a16:creationId xmlns:a16="http://schemas.microsoft.com/office/drawing/2014/main" id="{3643B8E4-D66B-4193-9177-E3399622A035}"/>
                </a:ext>
              </a:extLst>
            </xdr:cNvPr>
            <xdr:cNvGraphicFramePr>
              <a:graphicFrameLocks/>
            </xdr:cNvGraphicFramePr>
          </xdr:nvGraphicFramePr>
          <xdr:xfrm>
            <a:off x="5914605" y="5554746"/>
            <a:ext cx="6376356" cy="1973908"/>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50" name="Rectangle: Rounded Corners 49">
              <a:extLst>
                <a:ext uri="{FF2B5EF4-FFF2-40B4-BE49-F238E27FC236}">
                  <a16:creationId xmlns:a16="http://schemas.microsoft.com/office/drawing/2014/main" id="{F2736D4E-CF33-323E-0695-ED69341EB44C}"/>
                </a:ext>
              </a:extLst>
            </xdr:cNvPr>
            <xdr:cNvSpPr/>
          </xdr:nvSpPr>
          <xdr:spPr>
            <a:xfrm>
              <a:off x="5809281" y="5589292"/>
              <a:ext cx="6498956" cy="1981631"/>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0]!Removeallfilter" textlink="">
        <xdr:nvSpPr>
          <xdr:cNvPr id="56" name="Rectangle: Rounded Corners 55">
            <a:extLst>
              <a:ext uri="{FF2B5EF4-FFF2-40B4-BE49-F238E27FC236}">
                <a16:creationId xmlns:a16="http://schemas.microsoft.com/office/drawing/2014/main" id="{AC60172B-34B6-A5D3-5D48-48853615A4A0}"/>
              </a:ext>
            </a:extLst>
          </xdr:cNvPr>
          <xdr:cNvSpPr/>
        </xdr:nvSpPr>
        <xdr:spPr>
          <a:xfrm>
            <a:off x="16667507" y="841265"/>
            <a:ext cx="1811085" cy="927100"/>
          </a:xfrm>
          <a:prstGeom prst="roundRect">
            <a:avLst/>
          </a:prstGeom>
          <a:gradFill flip="none" rotWithShape="1">
            <a:gsLst>
              <a:gs pos="90909">
                <a:srgbClr val="023554"/>
              </a:gs>
              <a:gs pos="58000">
                <a:srgbClr val="023554"/>
              </a:gs>
              <a:gs pos="36000">
                <a:schemeClr val="accent6">
                  <a:lumMod val="50000"/>
                </a:schemeClr>
              </a:gs>
            </a:gsLst>
            <a:lin ang="27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accent1">
                    <a:lumMod val="60000"/>
                    <a:lumOff val="40000"/>
                  </a:schemeClr>
                </a:solidFill>
                <a:latin typeface="Cambria" panose="02040503050406030204" pitchFamily="18" charset="0"/>
                <a:ea typeface="Cambria" panose="02040503050406030204" pitchFamily="18" charset="0"/>
              </a:rPr>
              <a:t>Remove</a:t>
            </a:r>
            <a:r>
              <a:rPr lang="en-US" sz="1600" b="1" baseline="0">
                <a:solidFill>
                  <a:schemeClr val="accent1">
                    <a:lumMod val="60000"/>
                    <a:lumOff val="40000"/>
                  </a:schemeClr>
                </a:solidFill>
                <a:latin typeface="Cambria" panose="02040503050406030204" pitchFamily="18" charset="0"/>
                <a:ea typeface="Cambria" panose="02040503050406030204" pitchFamily="18" charset="0"/>
              </a:rPr>
              <a:t> all filter</a:t>
            </a:r>
            <a:endParaRPr lang="en-US" sz="1600" b="1">
              <a:solidFill>
                <a:schemeClr val="accent1">
                  <a:lumMod val="60000"/>
                  <a:lumOff val="40000"/>
                </a:schemeClr>
              </a:solidFill>
              <a:latin typeface="Cambria" panose="02040503050406030204" pitchFamily="18" charset="0"/>
              <a:ea typeface="Cambria" panose="02040503050406030204" pitchFamily="18" charset="0"/>
            </a:endParaRPr>
          </a:p>
        </xdr:txBody>
      </xdr:sp>
    </xdr:grpSp>
    <xdr:clientData/>
  </xdr:twoCellAnchor>
  <xdr:twoCellAnchor editAs="oneCell">
    <xdr:from>
      <xdr:col>10</xdr:col>
      <xdr:colOff>38586</xdr:colOff>
      <xdr:row>24</xdr:row>
      <xdr:rowOff>72402</xdr:rowOff>
    </xdr:from>
    <xdr:to>
      <xdr:col>10</xdr:col>
      <xdr:colOff>241300</xdr:colOff>
      <xdr:row>25</xdr:row>
      <xdr:rowOff>90172</xdr:rowOff>
    </xdr:to>
    <xdr:pic>
      <xdr:nvPicPr>
        <xdr:cNvPr id="65" name="Graphic 64" descr="Rupee with solid fill">
          <a:extLst>
            <a:ext uri="{FF2B5EF4-FFF2-40B4-BE49-F238E27FC236}">
              <a16:creationId xmlns:a16="http://schemas.microsoft.com/office/drawing/2014/main" id="{6DD5526E-E925-9A9E-AFDD-ADCA8B1843B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134586" y="4339602"/>
          <a:ext cx="202714" cy="195570"/>
        </a:xfrm>
        <a:prstGeom prst="rect">
          <a:avLst/>
        </a:prstGeom>
      </xdr:spPr>
    </xdr:pic>
    <xdr:clientData/>
  </xdr:twoCellAnchor>
  <xdr:twoCellAnchor editAs="oneCell">
    <xdr:from>
      <xdr:col>9</xdr:col>
      <xdr:colOff>600530</xdr:colOff>
      <xdr:row>33</xdr:row>
      <xdr:rowOff>27215</xdr:rowOff>
    </xdr:from>
    <xdr:to>
      <xdr:col>10</xdr:col>
      <xdr:colOff>186121</xdr:colOff>
      <xdr:row>34</xdr:row>
      <xdr:rowOff>38100</xdr:rowOff>
    </xdr:to>
    <xdr:pic>
      <xdr:nvPicPr>
        <xdr:cNvPr id="66" name="Graphic 65" descr="Rupee with solid fill">
          <a:extLst>
            <a:ext uri="{FF2B5EF4-FFF2-40B4-BE49-F238E27FC236}">
              <a16:creationId xmlns:a16="http://schemas.microsoft.com/office/drawing/2014/main" id="{2C280C00-0B12-48F4-925C-3AB2EC5D00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086930" y="5894615"/>
          <a:ext cx="195191" cy="18868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012.867882060185" createdVersion="8" refreshedVersion="8" minRefreshableVersion="3" recordCount="1026" xr:uid="{372AC82C-E2DF-4CD8-A5D6-534EF9C7ADF5}">
  <cacheSource type="worksheet">
    <worksheetSource name="Sheet1"/>
  </cacheSource>
  <cacheFields count="7">
    <cacheField name="Order_Date" numFmtId="22">
      <sharedItems containsSemiMixedTypes="0" containsNonDate="0" containsDate="1" containsString="0" minDate="2023-01-01T00:00:00" maxDate="2024-01-01T00:00:00" count="338">
        <d v="2023-12-15T00:00:00"/>
        <d v="2023-03-04T00:00:00"/>
        <d v="2023-12-27T00:00:00"/>
        <d v="2023-05-11T00:00:00"/>
        <d v="2023-03-31T00:00:00"/>
        <d v="2023-01-03T00:00:00"/>
        <d v="2023-08-20T00:00:00"/>
        <d v="2023-03-16T00:00:00"/>
        <d v="2023-06-28T00:00:00"/>
        <d v="2023-02-16T00:00:00"/>
        <d v="2023-03-07T00:00:00"/>
        <d v="2023-08-15T00:00:00"/>
        <d v="2023-09-06T00:00:00"/>
        <d v="2023-06-12T00:00:00"/>
        <d v="2023-10-26T00:00:00"/>
        <d v="2023-07-12T00:00:00"/>
        <d v="2023-12-18T00:00:00"/>
        <d v="2023-04-12T00:00:00"/>
        <d v="2023-03-18T00:00:00"/>
        <d v="2023-11-02T00:00:00"/>
        <d v="2023-12-17T00:00:00"/>
        <d v="2023-08-08T00:00:00"/>
        <d v="2023-09-22T00:00:00"/>
        <d v="2023-08-27T00:00:00"/>
        <d v="2023-02-13T00:00:00"/>
        <d v="2023-10-15T00:00:00"/>
        <d v="2023-05-04T00:00:00"/>
        <d v="2023-01-13T00:00:00"/>
        <d v="2023-05-07T00:00:00"/>
        <d v="2023-09-21T00:00:00"/>
        <d v="2023-07-21T00:00:00"/>
        <d v="2023-04-08T00:00:00"/>
        <d v="2023-07-31T00:00:00"/>
        <d v="2023-02-12T00:00:00"/>
        <d v="2023-02-07T00:00:00"/>
        <d v="2023-03-20T00:00:00"/>
        <d v="2023-10-12T00:00:00"/>
        <d v="2023-12-29T00:00:00"/>
        <d v="2023-05-19T00:00:00"/>
        <d v="2023-04-18T00:00:00"/>
        <d v="2023-07-13T00:00:00"/>
        <d v="2023-10-08T00:00:00"/>
        <d v="2023-07-05T00:00:00"/>
        <d v="2023-12-04T00:00:00"/>
        <d v="2023-01-15T00:00:00"/>
        <d v="2023-07-27T00:00:00"/>
        <d v="2023-11-21T00:00:00"/>
        <d v="2023-02-15T00:00:00"/>
        <d v="2023-04-15T00:00:00"/>
        <d v="2023-08-19T00:00:00"/>
        <d v="2023-09-19T00:00:00"/>
        <d v="2023-04-02T00:00:00"/>
        <d v="2023-11-24T00:00:00"/>
        <d v="2023-04-14T00:00:00"/>
        <d v="2023-01-19T00:00:00"/>
        <d v="2023-06-11T00:00:00"/>
        <d v="2023-03-24T00:00:00"/>
        <d v="2023-10-28T00:00:00"/>
        <d v="2023-10-14T00:00:00"/>
        <d v="2023-06-15T00:00:00"/>
        <d v="2023-07-14T00:00:00"/>
        <d v="2023-05-02T00:00:00"/>
        <d v="2023-10-01T00:00:00"/>
        <d v="2023-10-03T00:00:00"/>
        <d v="2023-10-19T00:00:00"/>
        <d v="2023-10-07T00:00:00"/>
        <d v="2023-11-30T00:00:00"/>
        <d v="2023-07-23T00:00:00"/>
        <d v="2023-06-25T00:00:00"/>
        <d v="2023-03-09T00:00:00"/>
        <d v="2023-12-09T00:00:00"/>
        <d v="2023-07-06T00:00:00"/>
        <d v="2023-10-24T00:00:00"/>
        <d v="2023-09-09T00:00:00"/>
        <d v="2023-12-16T00:00:00"/>
        <d v="2023-06-17T00:00:00"/>
        <d v="2023-01-05T00:00:00"/>
        <d v="2023-04-21T00:00:00"/>
        <d v="2023-07-02T00:00:00"/>
        <d v="2023-05-24T00:00:00"/>
        <d v="2023-02-28T00:00:00"/>
        <d v="2023-10-20T00:00:00"/>
        <d v="2023-01-26T00:00:00"/>
        <d v="2023-11-06T00:00:00"/>
        <d v="2023-01-18T00:00:00"/>
        <d v="2023-02-04T00:00:00"/>
        <d v="2023-08-31T00:00:00"/>
        <d v="2023-06-02T00:00:00"/>
        <d v="2023-05-08T00:00:00"/>
        <d v="2023-10-13T00:00:00"/>
        <d v="2023-01-21T00:00:00"/>
        <d v="2023-11-09T00:00:00"/>
        <d v="2023-11-13T00:00:00"/>
        <d v="2023-06-13T00:00:00"/>
        <d v="2023-02-17T00:00:00"/>
        <d v="2023-02-10T00:00:00"/>
        <d v="2023-12-26T00:00:00"/>
        <d v="2023-10-06T00:00:00"/>
        <d v="2023-05-29T00:00:00"/>
        <d v="2023-11-18T00:00:00"/>
        <d v="2023-06-18T00:00:00"/>
        <d v="2023-09-18T00:00:00"/>
        <d v="2023-08-25T00:00:00"/>
        <d v="2023-01-22T00:00:00"/>
        <d v="2023-06-04T00:00:00"/>
        <d v="2023-07-28T00:00:00"/>
        <d v="2023-11-10T00:00:00"/>
        <d v="2023-09-25T00:00:00"/>
        <d v="2023-09-29T00:00:00"/>
        <d v="2023-02-25T00:00:00"/>
        <d v="2023-06-21T00:00:00"/>
        <d v="2023-02-02T00:00:00"/>
        <d v="2023-09-11T00:00:00"/>
        <d v="2023-10-29T00:00:00"/>
        <d v="2023-05-30T00:00:00"/>
        <d v="2023-04-13T00:00:00"/>
        <d v="2023-08-16T00:00:00"/>
        <d v="2023-07-20T00:00:00"/>
        <d v="2023-01-30T00:00:00"/>
        <d v="2023-09-13T00:00:00"/>
        <d v="2023-11-20T00:00:00"/>
        <d v="2023-03-01T00:00:00"/>
        <d v="2023-02-01T00:00:00"/>
        <d v="2023-05-22T00:00:00"/>
        <d v="2023-08-17T00:00:00"/>
        <d v="2023-05-27T00:00:00"/>
        <d v="2023-10-17T00:00:00"/>
        <d v="2023-01-07T00:00:00"/>
        <d v="2023-02-27T00:00:00"/>
        <d v="2023-08-11T00:00:00"/>
        <d v="2023-02-22T00:00:00"/>
        <d v="2023-06-19T00:00:00"/>
        <d v="2023-04-25T00:00:00"/>
        <d v="2023-05-15T00:00:00"/>
        <d v="2023-05-21T00:00:00"/>
        <d v="2023-05-20T00:00:00"/>
        <d v="2023-03-08T00:00:00"/>
        <d v="2023-02-03T00:00:00"/>
        <d v="2023-11-05T00:00:00"/>
        <d v="2023-03-30T00:00:00"/>
        <d v="2023-11-22T00:00:00"/>
        <d v="2023-12-21T00:00:00"/>
        <d v="2023-05-03T00:00:00"/>
        <d v="2023-10-21T00:00:00"/>
        <d v="2023-01-27T00:00:00"/>
        <d v="2023-05-13T00:00:00"/>
        <d v="2023-01-11T00:00:00"/>
        <d v="2023-01-17T00:00:00"/>
        <d v="2023-06-09T00:00:00"/>
        <d v="2023-01-31T00:00:00"/>
        <d v="2023-04-07T00:00:00"/>
        <d v="2023-01-10T00:00:00"/>
        <d v="2023-06-05T00:00:00"/>
        <d v="2023-03-13T00:00:00"/>
        <d v="2023-03-23T00:00:00"/>
        <d v="2023-03-15T00:00:00"/>
        <d v="2023-03-19T00:00:00"/>
        <d v="2023-07-25T00:00:00"/>
        <d v="2023-03-17T00:00:00"/>
        <d v="2023-06-24T00:00:00"/>
        <d v="2023-09-16T00:00:00"/>
        <d v="2023-06-26T00:00:00"/>
        <d v="2023-04-09T00:00:00"/>
        <d v="2023-08-30T00:00:00"/>
        <d v="2023-02-24T00:00:00"/>
        <d v="2023-12-31T00:00:00"/>
        <d v="2023-07-03T00:00:00"/>
        <d v="2023-03-27T00:00:00"/>
        <d v="2023-09-05T00:00:00"/>
        <d v="2023-07-24T00:00:00"/>
        <d v="2023-10-16T00:00:00"/>
        <d v="2023-07-10T00:00:00"/>
        <d v="2023-02-23T00:00:00"/>
        <d v="2023-03-10T00:00:00"/>
        <d v="2023-04-26T00:00:00"/>
        <d v="2023-09-04T00:00:00"/>
        <d v="2023-05-12T00:00:00"/>
        <d v="2023-03-03T00:00:00"/>
        <d v="2023-09-02T00:00:00"/>
        <d v="2023-10-30T00:00:00"/>
        <d v="2023-05-09T00:00:00"/>
        <d v="2023-11-15T00:00:00"/>
        <d v="2023-02-14T00:00:00"/>
        <d v="2023-04-10T00:00:00"/>
        <d v="2023-08-02T00:00:00"/>
        <d v="2023-09-15T00:00:00"/>
        <d v="2023-06-03T00:00:00"/>
        <d v="2023-05-23T00:00:00"/>
        <d v="2023-10-11T00:00:00"/>
        <d v="2023-07-30T00:00:00"/>
        <d v="2023-04-23T00:00:00"/>
        <d v="2023-09-12T00:00:00"/>
        <d v="2023-03-26T00:00:00"/>
        <d v="2023-11-16T00:00:00"/>
        <d v="2023-09-28T00:00:00"/>
        <d v="2023-09-26T00:00:00"/>
        <d v="2023-05-31T00:00:00"/>
        <d v="2023-12-01T00:00:00"/>
        <d v="2023-09-27T00:00:00"/>
        <d v="2023-04-20T00:00:00"/>
        <d v="2023-12-30T00:00:00"/>
        <d v="2023-08-10T00:00:00"/>
        <d v="2023-03-02T00:00:00"/>
        <d v="2023-08-13T00:00:00"/>
        <d v="2023-11-28T00:00:00"/>
        <d v="2023-11-07T00:00:00"/>
        <d v="2023-09-10T00:00:00"/>
        <d v="2023-02-08T00:00:00"/>
        <d v="2023-05-25T00:00:00"/>
        <d v="2023-10-22T00:00:00"/>
        <d v="2023-01-14T00:00:00"/>
        <d v="2023-06-23T00:00:00"/>
        <d v="2023-04-11T00:00:00"/>
        <d v="2023-12-11T00:00:00"/>
        <d v="2023-05-14T00:00:00"/>
        <d v="2023-04-01T00:00:00"/>
        <d v="2023-03-05T00:00:00"/>
        <d v="2023-07-11T00:00:00"/>
        <d v="2023-04-05T00:00:00"/>
        <d v="2023-05-26T00:00:00"/>
        <d v="2023-01-24T00:00:00"/>
        <d v="2023-03-25T00:00:00"/>
        <d v="2023-05-10T00:00:00"/>
        <d v="2023-11-29T00:00:00"/>
        <d v="2023-07-26T00:00:00"/>
        <d v="2023-06-01T00:00:00"/>
        <d v="2023-02-19T00:00:00"/>
        <d v="2023-05-18T00:00:00"/>
        <d v="2023-03-22T00:00:00"/>
        <d v="2023-12-05T00:00:00"/>
        <d v="2023-01-01T00:00:00"/>
        <d v="2023-02-21T00:00:00"/>
        <d v="2023-04-22T00:00:00"/>
        <d v="2023-01-12T00:00:00"/>
        <d v="2023-12-08T00:00:00"/>
        <d v="2023-05-16T00:00:00"/>
        <d v="2023-10-04T00:00:00"/>
        <d v="2023-12-23T00:00:00"/>
        <d v="2023-04-06T00:00:00"/>
        <d v="2023-12-24T00:00:00"/>
        <d v="2023-09-01T00:00:00"/>
        <d v="2023-02-06T00:00:00"/>
        <d v="2023-10-25T00:00:00"/>
        <d v="2023-04-19T00:00:00"/>
        <d v="2023-01-16T00:00:00"/>
        <d v="2023-12-22T00:00:00"/>
        <d v="2023-11-19T00:00:00"/>
        <d v="2023-05-01T00:00:00"/>
        <d v="2023-12-06T00:00:00"/>
        <d v="2023-02-05T00:00:00"/>
        <d v="2023-04-17T00:00:00"/>
        <d v="2023-12-28T00:00:00"/>
        <d v="2023-01-08T00:00:00"/>
        <d v="2023-11-17T00:00:00"/>
        <d v="2023-07-17T00:00:00"/>
        <d v="2023-08-18T00:00:00"/>
        <d v="2023-12-20T00:00:00"/>
        <d v="2023-06-08T00:00:00"/>
        <d v="2023-04-27T00:00:00"/>
        <d v="2023-05-06T00:00:00"/>
        <d v="2023-12-14T00:00:00"/>
        <d v="2023-08-12T00:00:00"/>
        <d v="2023-11-03T00:00:00"/>
        <d v="2023-01-04T00:00:00"/>
        <d v="2023-06-27T00:00:00"/>
        <d v="2023-08-23T00:00:00"/>
        <d v="2023-07-01T00:00:00"/>
        <d v="2023-10-31T00:00:00"/>
        <d v="2023-03-14T00:00:00"/>
        <d v="2023-01-20T00:00:00"/>
        <d v="2023-09-03T00:00:00"/>
        <d v="2023-01-23T00:00:00"/>
        <d v="2023-08-07T00:00:00"/>
        <d v="2023-03-28T00:00:00"/>
        <d v="2023-11-27T00:00:00"/>
        <d v="2023-12-10T00:00:00"/>
        <d v="2023-01-02T00:00:00"/>
        <d v="2023-01-25T00:00:00"/>
        <d v="2023-06-22T00:00:00"/>
        <d v="2023-03-29T00:00:00"/>
        <d v="2023-03-12T00:00:00"/>
        <d v="2023-07-29T00:00:00"/>
        <d v="2023-07-08T00:00:00"/>
        <d v="2023-09-23T00:00:00"/>
        <d v="2023-11-11T00:00:00"/>
        <d v="2023-05-28T00:00:00"/>
        <d v="2023-07-18T00:00:00"/>
        <d v="2023-06-14T00:00:00"/>
        <d v="2023-12-02T00:00:00"/>
        <d v="2023-06-29T00:00:00"/>
        <d v="2023-01-09T00:00:00"/>
        <d v="2023-01-28T00:00:00"/>
        <d v="2023-10-09T00:00:00"/>
        <d v="2023-08-04T00:00:00"/>
        <d v="2023-04-16T00:00:00"/>
        <d v="2023-08-21T00:00:00"/>
        <d v="2023-08-22T00:00:00"/>
        <d v="2023-02-09T00:00:00"/>
        <d v="2023-07-22T00:00:00"/>
        <d v="2023-10-23T00:00:00"/>
        <d v="2023-10-10T00:00:00"/>
        <d v="2023-11-01T00:00:00"/>
        <d v="2023-07-09T00:00:00"/>
        <d v="2023-11-23T00:00:00"/>
        <d v="2023-08-24T00:00:00"/>
        <d v="2023-08-06T00:00:00"/>
        <d v="2023-09-24T00:00:00"/>
        <d v="2023-08-05T00:00:00"/>
        <d v="2023-12-12T00:00:00"/>
        <d v="2023-04-28T00:00:00"/>
        <d v="2023-12-13T00:00:00"/>
        <d v="2023-08-28T00:00:00"/>
        <d v="2023-08-26T00:00:00"/>
        <d v="2023-11-25T00:00:00"/>
        <d v="2023-11-14T00:00:00"/>
        <d v="2023-12-19T00:00:00"/>
        <d v="2023-03-21T00:00:00"/>
        <d v="2023-04-30T00:00:00"/>
        <d v="2023-07-07T00:00:00"/>
        <d v="2023-10-05T00:00:00"/>
        <d v="2023-06-30T00:00:00"/>
        <d v="2023-08-29T00:00:00"/>
        <d v="2023-04-24T00:00:00"/>
        <d v="2023-09-08T00:00:00"/>
        <d v="2023-09-17T00:00:00"/>
        <d v="2023-07-16T00:00:00"/>
        <d v="2023-03-11T00:00:00"/>
        <d v="2023-06-20T00:00:00"/>
        <d v="2023-06-06T00:00:00"/>
        <d v="2023-10-02T00:00:00"/>
        <d v="2023-06-10T00:00:00"/>
        <d v="2023-11-04T00:00:00"/>
        <d v="2023-01-29T00:00:00"/>
        <d v="2023-05-17T00:00:00"/>
        <d v="2023-02-26T00:00:00"/>
        <d v="2023-10-27T00:00:00"/>
        <d v="2023-11-08T00:00:00"/>
        <d v="2023-09-14T00:00:00"/>
      </sharedItems>
    </cacheField>
    <cacheField name="Income" numFmtId="0">
      <sharedItems containsSemiMixedTypes="0" containsString="0" containsNumber="1" containsInteger="1" minValue="10000" maxValue="170000"/>
    </cacheField>
    <cacheField name="Region" numFmtId="0">
      <sharedItems count="3">
        <s v="Europe"/>
        <s v="Pacific"/>
        <s v="North America"/>
      </sharedItems>
    </cacheField>
    <cacheField name="Sales" numFmtId="0">
      <sharedItems containsSemiMixedTypes="0" containsString="0" containsNumber="1" minValue="105.48" maxValue="9997.23"/>
    </cacheField>
    <cacheField name="Product Category" numFmtId="0">
      <sharedItems count="2">
        <s v="Bike"/>
        <s v="Car"/>
      </sharedItems>
    </cacheField>
    <cacheField name="Product Sub-Category" numFmtId="0">
      <sharedItems count="10">
        <s v="Handle Grips"/>
        <s v="Chain Sprocket"/>
        <s v="Disc Brake"/>
        <s v="Alloy Wheels"/>
        <s v="Performance Exhaust"/>
        <s v="LED Headlights"/>
        <s v="Racing Exhaust"/>
        <s v="Spoiler"/>
        <s v="LED Indicators"/>
        <s v="Brake Kit"/>
      </sharedItems>
    </cacheField>
    <cacheField name="Month" numFmtId="0">
      <sharedItems count="12">
        <s v="December"/>
        <s v="March"/>
        <s v="May"/>
        <s v="January"/>
        <s v="August"/>
        <s v="June"/>
        <s v="February"/>
        <s v="September"/>
        <s v="October"/>
        <s v="July"/>
        <s v="April"/>
        <s v="November"/>
      </sharedItems>
    </cacheField>
  </cacheFields>
  <extLst>
    <ext xmlns:x14="http://schemas.microsoft.com/office/spreadsheetml/2009/9/main" uri="{725AE2AE-9491-48be-B2B4-4EB974FC3084}">
      <x14:pivotCacheDefinition pivotCacheId="7740676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x v="0"/>
    <n v="40000"/>
    <x v="0"/>
    <n v="8157.13"/>
    <x v="0"/>
    <x v="0"/>
    <x v="0"/>
  </r>
  <r>
    <x v="1"/>
    <n v="30000"/>
    <x v="0"/>
    <n v="8626.26"/>
    <x v="0"/>
    <x v="1"/>
    <x v="1"/>
  </r>
  <r>
    <x v="2"/>
    <n v="80000"/>
    <x v="0"/>
    <n v="5043.8100000000004"/>
    <x v="0"/>
    <x v="2"/>
    <x v="0"/>
  </r>
  <r>
    <x v="3"/>
    <n v="70000"/>
    <x v="1"/>
    <n v="7960.62"/>
    <x v="1"/>
    <x v="3"/>
    <x v="2"/>
  </r>
  <r>
    <x v="4"/>
    <n v="30000"/>
    <x v="0"/>
    <n v="5387.26"/>
    <x v="1"/>
    <x v="4"/>
    <x v="1"/>
  </r>
  <r>
    <x v="5"/>
    <n v="10000"/>
    <x v="0"/>
    <n v="3548.73"/>
    <x v="0"/>
    <x v="2"/>
    <x v="3"/>
  </r>
  <r>
    <x v="6"/>
    <n v="160000"/>
    <x v="1"/>
    <n v="919.88"/>
    <x v="1"/>
    <x v="5"/>
    <x v="4"/>
  </r>
  <r>
    <x v="7"/>
    <n v="40000"/>
    <x v="0"/>
    <n v="8392.02"/>
    <x v="0"/>
    <x v="6"/>
    <x v="1"/>
  </r>
  <r>
    <x v="8"/>
    <n v="20000"/>
    <x v="1"/>
    <n v="6456.44"/>
    <x v="0"/>
    <x v="1"/>
    <x v="5"/>
  </r>
  <r>
    <x v="9"/>
    <n v="120000"/>
    <x v="0"/>
    <n v="7988.06"/>
    <x v="0"/>
    <x v="6"/>
    <x v="6"/>
  </r>
  <r>
    <x v="10"/>
    <n v="30000"/>
    <x v="1"/>
    <n v="6949"/>
    <x v="0"/>
    <x v="2"/>
    <x v="1"/>
  </r>
  <r>
    <x v="11"/>
    <n v="90000"/>
    <x v="1"/>
    <n v="5034.91"/>
    <x v="1"/>
    <x v="7"/>
    <x v="4"/>
  </r>
  <r>
    <x v="12"/>
    <n v="170000"/>
    <x v="0"/>
    <n v="456.33"/>
    <x v="0"/>
    <x v="8"/>
    <x v="7"/>
  </r>
  <r>
    <x v="13"/>
    <n v="40000"/>
    <x v="0"/>
    <n v="6893.26"/>
    <x v="1"/>
    <x v="4"/>
    <x v="5"/>
  </r>
  <r>
    <x v="14"/>
    <n v="60000"/>
    <x v="1"/>
    <n v="3095.6"/>
    <x v="0"/>
    <x v="0"/>
    <x v="8"/>
  </r>
  <r>
    <x v="15"/>
    <n v="10000"/>
    <x v="0"/>
    <n v="4287.91"/>
    <x v="1"/>
    <x v="5"/>
    <x v="9"/>
  </r>
  <r>
    <x v="16"/>
    <n v="30000"/>
    <x v="1"/>
    <n v="6729.48"/>
    <x v="1"/>
    <x v="5"/>
    <x v="0"/>
  </r>
  <r>
    <x v="17"/>
    <n v="30000"/>
    <x v="0"/>
    <n v="4042.88"/>
    <x v="0"/>
    <x v="8"/>
    <x v="10"/>
  </r>
  <r>
    <x v="18"/>
    <n v="40000"/>
    <x v="0"/>
    <n v="3796.64"/>
    <x v="1"/>
    <x v="3"/>
    <x v="1"/>
  </r>
  <r>
    <x v="19"/>
    <n v="20000"/>
    <x v="1"/>
    <n v="7942"/>
    <x v="0"/>
    <x v="2"/>
    <x v="11"/>
  </r>
  <r>
    <x v="20"/>
    <n v="40000"/>
    <x v="0"/>
    <n v="1387.65"/>
    <x v="0"/>
    <x v="0"/>
    <x v="0"/>
  </r>
  <r>
    <x v="21"/>
    <n v="80000"/>
    <x v="1"/>
    <n v="8869.8700000000008"/>
    <x v="0"/>
    <x v="2"/>
    <x v="4"/>
  </r>
  <r>
    <x v="22"/>
    <n v="40000"/>
    <x v="0"/>
    <n v="4729.34"/>
    <x v="1"/>
    <x v="9"/>
    <x v="7"/>
  </r>
  <r>
    <x v="23"/>
    <n v="80000"/>
    <x v="0"/>
    <n v="5079.22"/>
    <x v="0"/>
    <x v="2"/>
    <x v="4"/>
  </r>
  <r>
    <x v="24"/>
    <n v="40000"/>
    <x v="0"/>
    <n v="2599.4499999999998"/>
    <x v="0"/>
    <x v="2"/>
    <x v="6"/>
  </r>
  <r>
    <x v="25"/>
    <n v="30000"/>
    <x v="0"/>
    <n v="5184.21"/>
    <x v="1"/>
    <x v="7"/>
    <x v="8"/>
  </r>
  <r>
    <x v="3"/>
    <n v="30000"/>
    <x v="0"/>
    <n v="1047.1400000000001"/>
    <x v="0"/>
    <x v="0"/>
    <x v="2"/>
  </r>
  <r>
    <x v="26"/>
    <n v="100000"/>
    <x v="1"/>
    <n v="2457.7399999999998"/>
    <x v="0"/>
    <x v="6"/>
    <x v="2"/>
  </r>
  <r>
    <x v="27"/>
    <n v="70000"/>
    <x v="1"/>
    <n v="3389.48"/>
    <x v="1"/>
    <x v="9"/>
    <x v="3"/>
  </r>
  <r>
    <x v="28"/>
    <n v="20000"/>
    <x v="0"/>
    <n v="596.76"/>
    <x v="0"/>
    <x v="6"/>
    <x v="2"/>
  </r>
  <r>
    <x v="29"/>
    <n v="20000"/>
    <x v="0"/>
    <n v="8807.56"/>
    <x v="1"/>
    <x v="5"/>
    <x v="7"/>
  </r>
  <r>
    <x v="12"/>
    <n v="10000"/>
    <x v="1"/>
    <n v="6118.35"/>
    <x v="1"/>
    <x v="7"/>
    <x v="7"/>
  </r>
  <r>
    <x v="30"/>
    <n v="20000"/>
    <x v="0"/>
    <n v="8661.15"/>
    <x v="1"/>
    <x v="9"/>
    <x v="9"/>
  </r>
  <r>
    <x v="31"/>
    <n v="80000"/>
    <x v="1"/>
    <n v="5645.54"/>
    <x v="0"/>
    <x v="8"/>
    <x v="10"/>
  </r>
  <r>
    <x v="32"/>
    <n v="90000"/>
    <x v="0"/>
    <n v="2855.77"/>
    <x v="1"/>
    <x v="3"/>
    <x v="9"/>
  </r>
  <r>
    <x v="33"/>
    <n v="10000"/>
    <x v="0"/>
    <n v="9686.64"/>
    <x v="0"/>
    <x v="2"/>
    <x v="6"/>
  </r>
  <r>
    <x v="6"/>
    <n v="10000"/>
    <x v="0"/>
    <n v="4175.95"/>
    <x v="0"/>
    <x v="0"/>
    <x v="4"/>
  </r>
  <r>
    <x v="34"/>
    <n v="30000"/>
    <x v="0"/>
    <n v="271.41000000000003"/>
    <x v="0"/>
    <x v="6"/>
    <x v="6"/>
  </r>
  <r>
    <x v="35"/>
    <n v="20000"/>
    <x v="0"/>
    <n v="5830.79"/>
    <x v="1"/>
    <x v="9"/>
    <x v="1"/>
  </r>
  <r>
    <x v="36"/>
    <n v="10000"/>
    <x v="0"/>
    <n v="6182.23"/>
    <x v="0"/>
    <x v="8"/>
    <x v="8"/>
  </r>
  <r>
    <x v="37"/>
    <n v="30000"/>
    <x v="0"/>
    <n v="7387.69"/>
    <x v="0"/>
    <x v="8"/>
    <x v="0"/>
  </r>
  <r>
    <x v="38"/>
    <n v="40000"/>
    <x v="1"/>
    <n v="7788.18"/>
    <x v="0"/>
    <x v="6"/>
    <x v="2"/>
  </r>
  <r>
    <x v="39"/>
    <n v="10000"/>
    <x v="0"/>
    <n v="4469.0600000000004"/>
    <x v="0"/>
    <x v="0"/>
    <x v="10"/>
  </r>
  <r>
    <x v="37"/>
    <n v="170000"/>
    <x v="0"/>
    <n v="2071.9"/>
    <x v="1"/>
    <x v="7"/>
    <x v="0"/>
  </r>
  <r>
    <x v="40"/>
    <n v="20000"/>
    <x v="0"/>
    <n v="4350.18"/>
    <x v="0"/>
    <x v="2"/>
    <x v="9"/>
  </r>
  <r>
    <x v="41"/>
    <n v="20000"/>
    <x v="0"/>
    <n v="7551.18"/>
    <x v="0"/>
    <x v="8"/>
    <x v="8"/>
  </r>
  <r>
    <x v="13"/>
    <n v="60000"/>
    <x v="1"/>
    <n v="7204.87"/>
    <x v="0"/>
    <x v="2"/>
    <x v="5"/>
  </r>
  <r>
    <x v="36"/>
    <n v="40000"/>
    <x v="1"/>
    <n v="582.6"/>
    <x v="1"/>
    <x v="4"/>
    <x v="8"/>
  </r>
  <r>
    <x v="42"/>
    <n v="30000"/>
    <x v="0"/>
    <n v="5179.47"/>
    <x v="0"/>
    <x v="8"/>
    <x v="9"/>
  </r>
  <r>
    <x v="43"/>
    <n v="40000"/>
    <x v="0"/>
    <n v="2124.02"/>
    <x v="1"/>
    <x v="9"/>
    <x v="0"/>
  </r>
  <r>
    <x v="28"/>
    <n v="30000"/>
    <x v="0"/>
    <n v="4623.8"/>
    <x v="0"/>
    <x v="8"/>
    <x v="2"/>
  </r>
  <r>
    <x v="44"/>
    <n v="80000"/>
    <x v="1"/>
    <n v="1542.85"/>
    <x v="1"/>
    <x v="3"/>
    <x v="3"/>
  </r>
  <r>
    <x v="45"/>
    <n v="20000"/>
    <x v="0"/>
    <n v="9755.11"/>
    <x v="0"/>
    <x v="0"/>
    <x v="9"/>
  </r>
  <r>
    <x v="46"/>
    <n v="90000"/>
    <x v="0"/>
    <n v="2251.41"/>
    <x v="0"/>
    <x v="0"/>
    <x v="11"/>
  </r>
  <r>
    <x v="47"/>
    <n v="70000"/>
    <x v="1"/>
    <n v="8010.63"/>
    <x v="0"/>
    <x v="8"/>
    <x v="6"/>
  </r>
  <r>
    <x v="48"/>
    <n v="80000"/>
    <x v="0"/>
    <n v="1292.24"/>
    <x v="1"/>
    <x v="9"/>
    <x v="10"/>
  </r>
  <r>
    <x v="49"/>
    <n v="40000"/>
    <x v="0"/>
    <n v="5198.9399999999996"/>
    <x v="0"/>
    <x v="0"/>
    <x v="4"/>
  </r>
  <r>
    <x v="50"/>
    <n v="130000"/>
    <x v="0"/>
    <n v="8263.19"/>
    <x v="1"/>
    <x v="9"/>
    <x v="7"/>
  </r>
  <r>
    <x v="51"/>
    <n v="40000"/>
    <x v="0"/>
    <n v="2214.2199999999998"/>
    <x v="0"/>
    <x v="1"/>
    <x v="10"/>
  </r>
  <r>
    <x v="52"/>
    <n v="60000"/>
    <x v="1"/>
    <n v="4138.2299999999996"/>
    <x v="1"/>
    <x v="5"/>
    <x v="11"/>
  </r>
  <r>
    <x v="53"/>
    <n v="10000"/>
    <x v="0"/>
    <n v="5398.3"/>
    <x v="1"/>
    <x v="3"/>
    <x v="10"/>
  </r>
  <r>
    <x v="54"/>
    <n v="10000"/>
    <x v="0"/>
    <n v="9949.5300000000007"/>
    <x v="1"/>
    <x v="9"/>
    <x v="3"/>
  </r>
  <r>
    <x v="24"/>
    <n v="40000"/>
    <x v="1"/>
    <n v="4999.1000000000004"/>
    <x v="0"/>
    <x v="8"/>
    <x v="6"/>
  </r>
  <r>
    <x v="55"/>
    <n v="60000"/>
    <x v="1"/>
    <n v="1506.78"/>
    <x v="0"/>
    <x v="6"/>
    <x v="5"/>
  </r>
  <r>
    <x v="56"/>
    <n v="30000"/>
    <x v="0"/>
    <n v="8820.4599999999991"/>
    <x v="1"/>
    <x v="4"/>
    <x v="1"/>
  </r>
  <r>
    <x v="57"/>
    <n v="30000"/>
    <x v="1"/>
    <n v="2955.31"/>
    <x v="1"/>
    <x v="5"/>
    <x v="8"/>
  </r>
  <r>
    <x v="58"/>
    <n v="40000"/>
    <x v="0"/>
    <n v="7346.37"/>
    <x v="1"/>
    <x v="5"/>
    <x v="8"/>
  </r>
  <r>
    <x v="24"/>
    <n v="30000"/>
    <x v="0"/>
    <n v="1945.35"/>
    <x v="0"/>
    <x v="0"/>
    <x v="6"/>
  </r>
  <r>
    <x v="59"/>
    <n v="20000"/>
    <x v="0"/>
    <n v="3410.22"/>
    <x v="1"/>
    <x v="4"/>
    <x v="5"/>
  </r>
  <r>
    <x v="60"/>
    <n v="10000"/>
    <x v="0"/>
    <n v="1160.17"/>
    <x v="0"/>
    <x v="2"/>
    <x v="9"/>
  </r>
  <r>
    <x v="61"/>
    <n v="120000"/>
    <x v="1"/>
    <n v="1262.74"/>
    <x v="1"/>
    <x v="9"/>
    <x v="2"/>
  </r>
  <r>
    <x v="42"/>
    <n v="10000"/>
    <x v="0"/>
    <n v="4226.16"/>
    <x v="1"/>
    <x v="3"/>
    <x v="9"/>
  </r>
  <r>
    <x v="62"/>
    <n v="130000"/>
    <x v="0"/>
    <n v="5404.96"/>
    <x v="1"/>
    <x v="3"/>
    <x v="8"/>
  </r>
  <r>
    <x v="0"/>
    <n v="20000"/>
    <x v="0"/>
    <n v="9774.9599999999991"/>
    <x v="0"/>
    <x v="1"/>
    <x v="0"/>
  </r>
  <r>
    <x v="63"/>
    <n v="20000"/>
    <x v="1"/>
    <n v="5122.37"/>
    <x v="0"/>
    <x v="1"/>
    <x v="8"/>
  </r>
  <r>
    <x v="64"/>
    <n v="130000"/>
    <x v="1"/>
    <n v="8809.0400000000009"/>
    <x v="1"/>
    <x v="7"/>
    <x v="8"/>
  </r>
  <r>
    <x v="65"/>
    <n v="20000"/>
    <x v="0"/>
    <n v="143.41999999999999"/>
    <x v="1"/>
    <x v="3"/>
    <x v="8"/>
  </r>
  <r>
    <x v="66"/>
    <n v="80000"/>
    <x v="1"/>
    <n v="6367.43"/>
    <x v="1"/>
    <x v="5"/>
    <x v="11"/>
  </r>
  <r>
    <x v="67"/>
    <n v="80000"/>
    <x v="1"/>
    <n v="4811.71"/>
    <x v="1"/>
    <x v="7"/>
    <x v="9"/>
  </r>
  <r>
    <x v="68"/>
    <n v="40000"/>
    <x v="1"/>
    <n v="1232.31"/>
    <x v="0"/>
    <x v="6"/>
    <x v="5"/>
  </r>
  <r>
    <x v="69"/>
    <n v="30000"/>
    <x v="0"/>
    <n v="4506.6499999999996"/>
    <x v="1"/>
    <x v="4"/>
    <x v="1"/>
  </r>
  <r>
    <x v="70"/>
    <n v="10000"/>
    <x v="0"/>
    <n v="7993.98"/>
    <x v="0"/>
    <x v="2"/>
    <x v="0"/>
  </r>
  <r>
    <x v="71"/>
    <n v="30000"/>
    <x v="0"/>
    <n v="3248.6"/>
    <x v="1"/>
    <x v="3"/>
    <x v="9"/>
  </r>
  <r>
    <x v="72"/>
    <n v="20000"/>
    <x v="0"/>
    <n v="9611.92"/>
    <x v="0"/>
    <x v="2"/>
    <x v="8"/>
  </r>
  <r>
    <x v="73"/>
    <n v="40000"/>
    <x v="1"/>
    <n v="4117.92"/>
    <x v="1"/>
    <x v="3"/>
    <x v="7"/>
  </r>
  <r>
    <x v="74"/>
    <n v="10000"/>
    <x v="1"/>
    <n v="1230.5"/>
    <x v="1"/>
    <x v="4"/>
    <x v="0"/>
  </r>
  <r>
    <x v="75"/>
    <n v="130000"/>
    <x v="0"/>
    <n v="4020.03"/>
    <x v="0"/>
    <x v="8"/>
    <x v="5"/>
  </r>
  <r>
    <x v="76"/>
    <n v="80000"/>
    <x v="1"/>
    <n v="3505.62"/>
    <x v="0"/>
    <x v="0"/>
    <x v="3"/>
  </r>
  <r>
    <x v="77"/>
    <n v="30000"/>
    <x v="0"/>
    <n v="7862.98"/>
    <x v="1"/>
    <x v="4"/>
    <x v="10"/>
  </r>
  <r>
    <x v="78"/>
    <n v="20000"/>
    <x v="0"/>
    <n v="6740.4"/>
    <x v="1"/>
    <x v="9"/>
    <x v="9"/>
  </r>
  <r>
    <x v="79"/>
    <n v="30000"/>
    <x v="0"/>
    <n v="2447.0500000000002"/>
    <x v="0"/>
    <x v="2"/>
    <x v="2"/>
  </r>
  <r>
    <x v="80"/>
    <n v="30000"/>
    <x v="0"/>
    <n v="5437.99"/>
    <x v="0"/>
    <x v="6"/>
    <x v="6"/>
  </r>
  <r>
    <x v="81"/>
    <n v="60000"/>
    <x v="1"/>
    <n v="7184.05"/>
    <x v="1"/>
    <x v="4"/>
    <x v="8"/>
  </r>
  <r>
    <x v="82"/>
    <n v="30000"/>
    <x v="0"/>
    <n v="5114.09"/>
    <x v="0"/>
    <x v="2"/>
    <x v="3"/>
  </r>
  <r>
    <x v="83"/>
    <n v="30000"/>
    <x v="1"/>
    <n v="3090.79"/>
    <x v="1"/>
    <x v="4"/>
    <x v="11"/>
  </r>
  <r>
    <x v="84"/>
    <n v="90000"/>
    <x v="0"/>
    <n v="8415.9500000000007"/>
    <x v="0"/>
    <x v="1"/>
    <x v="3"/>
  </r>
  <r>
    <x v="85"/>
    <n v="30000"/>
    <x v="0"/>
    <n v="3598.79"/>
    <x v="1"/>
    <x v="3"/>
    <x v="6"/>
  </r>
  <r>
    <x v="17"/>
    <n v="40000"/>
    <x v="0"/>
    <n v="9044.7800000000007"/>
    <x v="1"/>
    <x v="5"/>
    <x v="10"/>
  </r>
  <r>
    <x v="86"/>
    <n v="40000"/>
    <x v="0"/>
    <n v="7261.86"/>
    <x v="1"/>
    <x v="3"/>
    <x v="4"/>
  </r>
  <r>
    <x v="87"/>
    <n v="20000"/>
    <x v="0"/>
    <n v="4900.72"/>
    <x v="1"/>
    <x v="5"/>
    <x v="5"/>
  </r>
  <r>
    <x v="88"/>
    <n v="10000"/>
    <x v="0"/>
    <n v="2188.94"/>
    <x v="0"/>
    <x v="0"/>
    <x v="2"/>
  </r>
  <r>
    <x v="85"/>
    <n v="60000"/>
    <x v="1"/>
    <n v="261.64999999999998"/>
    <x v="1"/>
    <x v="9"/>
    <x v="6"/>
  </r>
  <r>
    <x v="72"/>
    <n v="10000"/>
    <x v="0"/>
    <n v="6705.85"/>
    <x v="1"/>
    <x v="4"/>
    <x v="8"/>
  </r>
  <r>
    <x v="89"/>
    <n v="60000"/>
    <x v="1"/>
    <n v="7442.38"/>
    <x v="0"/>
    <x v="1"/>
    <x v="8"/>
  </r>
  <r>
    <x v="90"/>
    <n v="70000"/>
    <x v="1"/>
    <n v="9547.4599999999991"/>
    <x v="1"/>
    <x v="7"/>
    <x v="3"/>
  </r>
  <r>
    <x v="91"/>
    <n v="30000"/>
    <x v="0"/>
    <n v="2105.4299999999998"/>
    <x v="1"/>
    <x v="9"/>
    <x v="11"/>
  </r>
  <r>
    <x v="0"/>
    <n v="70000"/>
    <x v="1"/>
    <n v="8791.7199999999993"/>
    <x v="1"/>
    <x v="9"/>
    <x v="0"/>
  </r>
  <r>
    <x v="92"/>
    <n v="40000"/>
    <x v="1"/>
    <n v="7806.7"/>
    <x v="1"/>
    <x v="5"/>
    <x v="11"/>
  </r>
  <r>
    <x v="35"/>
    <n v="40000"/>
    <x v="0"/>
    <n v="3225.87"/>
    <x v="0"/>
    <x v="2"/>
    <x v="1"/>
  </r>
  <r>
    <x v="93"/>
    <n v="40000"/>
    <x v="0"/>
    <n v="763.25"/>
    <x v="0"/>
    <x v="1"/>
    <x v="5"/>
  </r>
  <r>
    <x v="94"/>
    <n v="30000"/>
    <x v="0"/>
    <n v="4796.78"/>
    <x v="1"/>
    <x v="9"/>
    <x v="6"/>
  </r>
  <r>
    <x v="11"/>
    <n v="70000"/>
    <x v="1"/>
    <n v="5465.05"/>
    <x v="1"/>
    <x v="3"/>
    <x v="4"/>
  </r>
  <r>
    <x v="35"/>
    <n v="40000"/>
    <x v="0"/>
    <n v="502.56"/>
    <x v="0"/>
    <x v="1"/>
    <x v="1"/>
  </r>
  <r>
    <x v="95"/>
    <n v="130000"/>
    <x v="1"/>
    <n v="9393.25"/>
    <x v="1"/>
    <x v="4"/>
    <x v="6"/>
  </r>
  <r>
    <x v="96"/>
    <n v="20000"/>
    <x v="1"/>
    <n v="5626.15"/>
    <x v="0"/>
    <x v="0"/>
    <x v="0"/>
  </r>
  <r>
    <x v="97"/>
    <n v="10000"/>
    <x v="0"/>
    <n v="962.47"/>
    <x v="0"/>
    <x v="1"/>
    <x v="8"/>
  </r>
  <r>
    <x v="98"/>
    <n v="30000"/>
    <x v="0"/>
    <n v="6856.31"/>
    <x v="0"/>
    <x v="0"/>
    <x v="2"/>
  </r>
  <r>
    <x v="99"/>
    <n v="20000"/>
    <x v="0"/>
    <n v="5260.68"/>
    <x v="0"/>
    <x v="8"/>
    <x v="11"/>
  </r>
  <r>
    <x v="45"/>
    <n v="80000"/>
    <x v="0"/>
    <n v="9606.6"/>
    <x v="1"/>
    <x v="9"/>
    <x v="9"/>
  </r>
  <r>
    <x v="5"/>
    <n v="30000"/>
    <x v="0"/>
    <n v="6671.76"/>
    <x v="0"/>
    <x v="0"/>
    <x v="3"/>
  </r>
  <r>
    <x v="100"/>
    <n v="40000"/>
    <x v="1"/>
    <n v="9557.09"/>
    <x v="0"/>
    <x v="1"/>
    <x v="5"/>
  </r>
  <r>
    <x v="101"/>
    <n v="150000"/>
    <x v="0"/>
    <n v="8281.51"/>
    <x v="0"/>
    <x v="0"/>
    <x v="7"/>
  </r>
  <r>
    <x v="102"/>
    <n v="80000"/>
    <x v="1"/>
    <n v="2996.1"/>
    <x v="0"/>
    <x v="0"/>
    <x v="4"/>
  </r>
  <r>
    <x v="103"/>
    <n v="100000"/>
    <x v="0"/>
    <n v="423.22"/>
    <x v="1"/>
    <x v="3"/>
    <x v="3"/>
  </r>
  <r>
    <x v="104"/>
    <n v="40000"/>
    <x v="0"/>
    <n v="7860.13"/>
    <x v="1"/>
    <x v="3"/>
    <x v="5"/>
  </r>
  <r>
    <x v="59"/>
    <n v="80000"/>
    <x v="1"/>
    <n v="3196.91"/>
    <x v="1"/>
    <x v="5"/>
    <x v="5"/>
  </r>
  <r>
    <x v="105"/>
    <n v="30000"/>
    <x v="0"/>
    <n v="2424.63"/>
    <x v="1"/>
    <x v="4"/>
    <x v="9"/>
  </r>
  <r>
    <x v="106"/>
    <n v="30000"/>
    <x v="0"/>
    <n v="8150.91"/>
    <x v="0"/>
    <x v="1"/>
    <x v="11"/>
  </r>
  <r>
    <x v="107"/>
    <n v="10000"/>
    <x v="0"/>
    <n v="682.25"/>
    <x v="1"/>
    <x v="3"/>
    <x v="7"/>
  </r>
  <r>
    <x v="60"/>
    <n v="10000"/>
    <x v="0"/>
    <n v="4935.8900000000003"/>
    <x v="1"/>
    <x v="3"/>
    <x v="9"/>
  </r>
  <r>
    <x v="108"/>
    <n v="60000"/>
    <x v="1"/>
    <n v="3018.76"/>
    <x v="1"/>
    <x v="7"/>
    <x v="7"/>
  </r>
  <r>
    <x v="109"/>
    <n v="90000"/>
    <x v="0"/>
    <n v="8202.52"/>
    <x v="0"/>
    <x v="8"/>
    <x v="6"/>
  </r>
  <r>
    <x v="110"/>
    <n v="40000"/>
    <x v="0"/>
    <n v="3820.43"/>
    <x v="1"/>
    <x v="9"/>
    <x v="5"/>
  </r>
  <r>
    <x v="111"/>
    <n v="40000"/>
    <x v="1"/>
    <n v="3096.79"/>
    <x v="1"/>
    <x v="9"/>
    <x v="6"/>
  </r>
  <r>
    <x v="101"/>
    <n v="30000"/>
    <x v="0"/>
    <n v="6899.38"/>
    <x v="1"/>
    <x v="7"/>
    <x v="7"/>
  </r>
  <r>
    <x v="112"/>
    <n v="10000"/>
    <x v="0"/>
    <n v="6883.28"/>
    <x v="0"/>
    <x v="8"/>
    <x v="7"/>
  </r>
  <r>
    <x v="93"/>
    <n v="10000"/>
    <x v="0"/>
    <n v="6085.62"/>
    <x v="1"/>
    <x v="5"/>
    <x v="5"/>
  </r>
  <r>
    <x v="81"/>
    <n v="20000"/>
    <x v="0"/>
    <n v="3994.02"/>
    <x v="1"/>
    <x v="9"/>
    <x v="8"/>
  </r>
  <r>
    <x v="113"/>
    <n v="20000"/>
    <x v="1"/>
    <n v="6471.64"/>
    <x v="1"/>
    <x v="4"/>
    <x v="8"/>
  </r>
  <r>
    <x v="114"/>
    <n v="30000"/>
    <x v="1"/>
    <n v="6753.79"/>
    <x v="0"/>
    <x v="2"/>
    <x v="2"/>
  </r>
  <r>
    <x v="115"/>
    <n v="40000"/>
    <x v="0"/>
    <n v="7414.48"/>
    <x v="0"/>
    <x v="0"/>
    <x v="10"/>
  </r>
  <r>
    <x v="104"/>
    <n v="10000"/>
    <x v="1"/>
    <n v="6242.39"/>
    <x v="1"/>
    <x v="5"/>
    <x v="5"/>
  </r>
  <r>
    <x v="116"/>
    <n v="40000"/>
    <x v="0"/>
    <n v="2860.72"/>
    <x v="1"/>
    <x v="9"/>
    <x v="4"/>
  </r>
  <r>
    <x v="117"/>
    <n v="80000"/>
    <x v="1"/>
    <n v="6431.08"/>
    <x v="1"/>
    <x v="3"/>
    <x v="9"/>
  </r>
  <r>
    <x v="118"/>
    <n v="30000"/>
    <x v="0"/>
    <n v="2008.54"/>
    <x v="1"/>
    <x v="9"/>
    <x v="3"/>
  </r>
  <r>
    <x v="119"/>
    <n v="40000"/>
    <x v="0"/>
    <n v="8888.7900000000009"/>
    <x v="1"/>
    <x v="5"/>
    <x v="7"/>
  </r>
  <r>
    <x v="120"/>
    <n v="40000"/>
    <x v="0"/>
    <n v="8810.82"/>
    <x v="1"/>
    <x v="7"/>
    <x v="11"/>
  </r>
  <r>
    <x v="121"/>
    <n v="40000"/>
    <x v="0"/>
    <n v="386.56"/>
    <x v="1"/>
    <x v="7"/>
    <x v="1"/>
  </r>
  <r>
    <x v="122"/>
    <n v="20000"/>
    <x v="1"/>
    <n v="5262.99"/>
    <x v="1"/>
    <x v="7"/>
    <x v="6"/>
  </r>
  <r>
    <x v="123"/>
    <n v="30000"/>
    <x v="0"/>
    <n v="1370.82"/>
    <x v="0"/>
    <x v="6"/>
    <x v="2"/>
  </r>
  <r>
    <x v="84"/>
    <n v="60000"/>
    <x v="1"/>
    <n v="3042.71"/>
    <x v="0"/>
    <x v="0"/>
    <x v="3"/>
  </r>
  <r>
    <x v="124"/>
    <n v="100000"/>
    <x v="1"/>
    <n v="5144.3100000000004"/>
    <x v="0"/>
    <x v="1"/>
    <x v="4"/>
  </r>
  <r>
    <x v="125"/>
    <n v="20000"/>
    <x v="0"/>
    <n v="8565.85"/>
    <x v="1"/>
    <x v="5"/>
    <x v="2"/>
  </r>
  <r>
    <x v="126"/>
    <n v="100000"/>
    <x v="1"/>
    <n v="5014.04"/>
    <x v="1"/>
    <x v="9"/>
    <x v="8"/>
  </r>
  <r>
    <x v="17"/>
    <n v="80000"/>
    <x v="1"/>
    <n v="8777.17"/>
    <x v="0"/>
    <x v="1"/>
    <x v="10"/>
  </r>
  <r>
    <x v="127"/>
    <n v="10000"/>
    <x v="0"/>
    <n v="144.30000000000001"/>
    <x v="1"/>
    <x v="7"/>
    <x v="3"/>
  </r>
  <r>
    <x v="128"/>
    <n v="130000"/>
    <x v="0"/>
    <n v="8891.9699999999993"/>
    <x v="0"/>
    <x v="6"/>
    <x v="6"/>
  </r>
  <r>
    <x v="129"/>
    <n v="10000"/>
    <x v="0"/>
    <n v="3584.86"/>
    <x v="0"/>
    <x v="8"/>
    <x v="4"/>
  </r>
  <r>
    <x v="130"/>
    <n v="20000"/>
    <x v="0"/>
    <n v="6044.73"/>
    <x v="0"/>
    <x v="2"/>
    <x v="6"/>
  </r>
  <r>
    <x v="131"/>
    <n v="10000"/>
    <x v="0"/>
    <n v="4065.45"/>
    <x v="0"/>
    <x v="6"/>
    <x v="5"/>
  </r>
  <r>
    <x v="132"/>
    <n v="60000"/>
    <x v="1"/>
    <n v="3556.91"/>
    <x v="1"/>
    <x v="9"/>
    <x v="10"/>
  </r>
  <r>
    <x v="120"/>
    <n v="20000"/>
    <x v="0"/>
    <n v="4201.87"/>
    <x v="0"/>
    <x v="1"/>
    <x v="11"/>
  </r>
  <r>
    <x v="133"/>
    <n v="60000"/>
    <x v="1"/>
    <n v="5272.25"/>
    <x v="1"/>
    <x v="7"/>
    <x v="2"/>
  </r>
  <r>
    <x v="134"/>
    <n v="40000"/>
    <x v="1"/>
    <n v="864.85"/>
    <x v="0"/>
    <x v="1"/>
    <x v="2"/>
  </r>
  <r>
    <x v="135"/>
    <n v="10000"/>
    <x v="1"/>
    <n v="9636.9500000000007"/>
    <x v="0"/>
    <x v="0"/>
    <x v="2"/>
  </r>
  <r>
    <x v="136"/>
    <n v="10000"/>
    <x v="1"/>
    <n v="1837.87"/>
    <x v="0"/>
    <x v="0"/>
    <x v="1"/>
  </r>
  <r>
    <x v="137"/>
    <n v="90000"/>
    <x v="1"/>
    <n v="296.81"/>
    <x v="0"/>
    <x v="1"/>
    <x v="6"/>
  </r>
  <r>
    <x v="92"/>
    <n v="100000"/>
    <x v="1"/>
    <n v="7168.17"/>
    <x v="1"/>
    <x v="3"/>
    <x v="11"/>
  </r>
  <r>
    <x v="138"/>
    <n v="70000"/>
    <x v="1"/>
    <n v="7502.84"/>
    <x v="1"/>
    <x v="4"/>
    <x v="11"/>
  </r>
  <r>
    <x v="139"/>
    <n v="30000"/>
    <x v="0"/>
    <n v="3007.6"/>
    <x v="1"/>
    <x v="9"/>
    <x v="1"/>
  </r>
  <r>
    <x v="140"/>
    <n v="130000"/>
    <x v="0"/>
    <n v="1022.8"/>
    <x v="1"/>
    <x v="3"/>
    <x v="11"/>
  </r>
  <r>
    <x v="141"/>
    <n v="80000"/>
    <x v="0"/>
    <n v="6902.73"/>
    <x v="0"/>
    <x v="2"/>
    <x v="0"/>
  </r>
  <r>
    <x v="48"/>
    <n v="10000"/>
    <x v="0"/>
    <n v="8063.63"/>
    <x v="1"/>
    <x v="3"/>
    <x v="10"/>
  </r>
  <r>
    <x v="142"/>
    <n v="10000"/>
    <x v="1"/>
    <n v="7527.09"/>
    <x v="1"/>
    <x v="7"/>
    <x v="2"/>
  </r>
  <r>
    <x v="143"/>
    <n v="50000"/>
    <x v="0"/>
    <n v="8156.21"/>
    <x v="0"/>
    <x v="8"/>
    <x v="8"/>
  </r>
  <r>
    <x v="144"/>
    <n v="80000"/>
    <x v="1"/>
    <n v="5283.79"/>
    <x v="0"/>
    <x v="8"/>
    <x v="3"/>
  </r>
  <r>
    <x v="145"/>
    <n v="20000"/>
    <x v="1"/>
    <n v="7606.82"/>
    <x v="1"/>
    <x v="7"/>
    <x v="2"/>
  </r>
  <r>
    <x v="146"/>
    <n v="110000"/>
    <x v="0"/>
    <n v="8573.59"/>
    <x v="0"/>
    <x v="2"/>
    <x v="3"/>
  </r>
  <r>
    <x v="147"/>
    <n v="160000"/>
    <x v="0"/>
    <n v="7524.03"/>
    <x v="1"/>
    <x v="5"/>
    <x v="3"/>
  </r>
  <r>
    <x v="148"/>
    <n v="10000"/>
    <x v="0"/>
    <n v="4642.7299999999996"/>
    <x v="1"/>
    <x v="3"/>
    <x v="5"/>
  </r>
  <r>
    <x v="94"/>
    <n v="10000"/>
    <x v="0"/>
    <n v="3843.45"/>
    <x v="1"/>
    <x v="7"/>
    <x v="6"/>
  </r>
  <r>
    <x v="149"/>
    <n v="30000"/>
    <x v="1"/>
    <n v="5860.74"/>
    <x v="1"/>
    <x v="4"/>
    <x v="3"/>
  </r>
  <r>
    <x v="131"/>
    <n v="10000"/>
    <x v="0"/>
    <n v="4813.1400000000003"/>
    <x v="0"/>
    <x v="8"/>
    <x v="5"/>
  </r>
  <r>
    <x v="150"/>
    <n v="40000"/>
    <x v="1"/>
    <n v="1813"/>
    <x v="0"/>
    <x v="0"/>
    <x v="10"/>
  </r>
  <r>
    <x v="151"/>
    <n v="130000"/>
    <x v="0"/>
    <n v="558.92999999999995"/>
    <x v="1"/>
    <x v="4"/>
    <x v="3"/>
  </r>
  <r>
    <x v="88"/>
    <n v="90000"/>
    <x v="1"/>
    <n v="2061.06"/>
    <x v="1"/>
    <x v="9"/>
    <x v="2"/>
  </r>
  <r>
    <x v="152"/>
    <n v="30000"/>
    <x v="1"/>
    <n v="2278.5"/>
    <x v="1"/>
    <x v="9"/>
    <x v="5"/>
  </r>
  <r>
    <x v="153"/>
    <n v="80000"/>
    <x v="0"/>
    <n v="3476.63"/>
    <x v="1"/>
    <x v="5"/>
    <x v="1"/>
  </r>
  <r>
    <x v="154"/>
    <n v="70000"/>
    <x v="1"/>
    <n v="5183.46"/>
    <x v="0"/>
    <x v="1"/>
    <x v="1"/>
  </r>
  <r>
    <x v="155"/>
    <n v="30000"/>
    <x v="0"/>
    <n v="6862.94"/>
    <x v="0"/>
    <x v="0"/>
    <x v="1"/>
  </r>
  <r>
    <x v="32"/>
    <n v="30000"/>
    <x v="1"/>
    <n v="8871.61"/>
    <x v="1"/>
    <x v="3"/>
    <x v="9"/>
  </r>
  <r>
    <x v="11"/>
    <n v="90000"/>
    <x v="0"/>
    <n v="7433.75"/>
    <x v="1"/>
    <x v="9"/>
    <x v="4"/>
  </r>
  <r>
    <x v="61"/>
    <n v="80000"/>
    <x v="0"/>
    <n v="508.19"/>
    <x v="1"/>
    <x v="7"/>
    <x v="2"/>
  </r>
  <r>
    <x v="156"/>
    <n v="70000"/>
    <x v="1"/>
    <n v="9486.6"/>
    <x v="0"/>
    <x v="6"/>
    <x v="1"/>
  </r>
  <r>
    <x v="157"/>
    <n v="10000"/>
    <x v="0"/>
    <n v="7661.16"/>
    <x v="1"/>
    <x v="5"/>
    <x v="9"/>
  </r>
  <r>
    <x v="158"/>
    <n v="20000"/>
    <x v="1"/>
    <n v="2681.77"/>
    <x v="1"/>
    <x v="5"/>
    <x v="1"/>
  </r>
  <r>
    <x v="129"/>
    <n v="50000"/>
    <x v="0"/>
    <n v="384.08"/>
    <x v="0"/>
    <x v="2"/>
    <x v="4"/>
  </r>
  <r>
    <x v="15"/>
    <n v="60000"/>
    <x v="1"/>
    <n v="1950.94"/>
    <x v="1"/>
    <x v="4"/>
    <x v="9"/>
  </r>
  <r>
    <x v="159"/>
    <n v="100000"/>
    <x v="1"/>
    <n v="3072.11"/>
    <x v="0"/>
    <x v="1"/>
    <x v="5"/>
  </r>
  <r>
    <x v="160"/>
    <n v="80000"/>
    <x v="1"/>
    <n v="9344.11"/>
    <x v="1"/>
    <x v="9"/>
    <x v="7"/>
  </r>
  <r>
    <x v="2"/>
    <n v="60000"/>
    <x v="1"/>
    <n v="3940.23"/>
    <x v="0"/>
    <x v="8"/>
    <x v="0"/>
  </r>
  <r>
    <x v="59"/>
    <n v="10000"/>
    <x v="1"/>
    <n v="9688.0300000000007"/>
    <x v="1"/>
    <x v="3"/>
    <x v="5"/>
  </r>
  <r>
    <x v="117"/>
    <n v="40000"/>
    <x v="0"/>
    <n v="8491.9599999999991"/>
    <x v="0"/>
    <x v="1"/>
    <x v="9"/>
  </r>
  <r>
    <x v="100"/>
    <n v="60000"/>
    <x v="1"/>
    <n v="8718.74"/>
    <x v="1"/>
    <x v="3"/>
    <x v="5"/>
  </r>
  <r>
    <x v="161"/>
    <n v="90000"/>
    <x v="0"/>
    <n v="1942.82"/>
    <x v="0"/>
    <x v="1"/>
    <x v="5"/>
  </r>
  <r>
    <x v="147"/>
    <n v="30000"/>
    <x v="0"/>
    <n v="2075.0300000000002"/>
    <x v="0"/>
    <x v="6"/>
    <x v="3"/>
  </r>
  <r>
    <x v="162"/>
    <n v="90000"/>
    <x v="0"/>
    <n v="2693.99"/>
    <x v="1"/>
    <x v="4"/>
    <x v="10"/>
  </r>
  <r>
    <x v="163"/>
    <n v="20000"/>
    <x v="0"/>
    <n v="8554.23"/>
    <x v="1"/>
    <x v="9"/>
    <x v="4"/>
  </r>
  <r>
    <x v="133"/>
    <n v="40000"/>
    <x v="0"/>
    <n v="1242.76"/>
    <x v="1"/>
    <x v="4"/>
    <x v="2"/>
  </r>
  <r>
    <x v="164"/>
    <n v="30000"/>
    <x v="0"/>
    <n v="7682.67"/>
    <x v="1"/>
    <x v="9"/>
    <x v="6"/>
  </r>
  <r>
    <x v="64"/>
    <n v="80000"/>
    <x v="1"/>
    <n v="5043.91"/>
    <x v="0"/>
    <x v="8"/>
    <x v="8"/>
  </r>
  <r>
    <x v="165"/>
    <n v="50000"/>
    <x v="0"/>
    <n v="7534.46"/>
    <x v="1"/>
    <x v="3"/>
    <x v="0"/>
  </r>
  <r>
    <x v="96"/>
    <n v="30000"/>
    <x v="0"/>
    <n v="978.49"/>
    <x v="1"/>
    <x v="9"/>
    <x v="0"/>
  </r>
  <r>
    <x v="166"/>
    <n v="70000"/>
    <x v="1"/>
    <n v="8328.01"/>
    <x v="1"/>
    <x v="9"/>
    <x v="9"/>
  </r>
  <r>
    <x v="43"/>
    <n v="30000"/>
    <x v="0"/>
    <n v="3679.47"/>
    <x v="0"/>
    <x v="0"/>
    <x v="0"/>
  </r>
  <r>
    <x v="130"/>
    <n v="80000"/>
    <x v="0"/>
    <n v="8960.7099999999991"/>
    <x v="1"/>
    <x v="5"/>
    <x v="6"/>
  </r>
  <r>
    <x v="112"/>
    <n v="20000"/>
    <x v="1"/>
    <n v="965.08"/>
    <x v="0"/>
    <x v="8"/>
    <x v="7"/>
  </r>
  <r>
    <x v="94"/>
    <n v="20000"/>
    <x v="0"/>
    <n v="3014.84"/>
    <x v="1"/>
    <x v="4"/>
    <x v="6"/>
  </r>
  <r>
    <x v="167"/>
    <n v="10000"/>
    <x v="0"/>
    <n v="8996.8700000000008"/>
    <x v="1"/>
    <x v="5"/>
    <x v="1"/>
  </r>
  <r>
    <x v="168"/>
    <n v="10000"/>
    <x v="1"/>
    <n v="1080.8"/>
    <x v="0"/>
    <x v="0"/>
    <x v="7"/>
  </r>
  <r>
    <x v="169"/>
    <n v="60000"/>
    <x v="1"/>
    <n v="2267.9299999999998"/>
    <x v="1"/>
    <x v="5"/>
    <x v="9"/>
  </r>
  <r>
    <x v="170"/>
    <n v="10000"/>
    <x v="0"/>
    <n v="5122.49"/>
    <x v="1"/>
    <x v="9"/>
    <x v="8"/>
  </r>
  <r>
    <x v="171"/>
    <n v="30000"/>
    <x v="0"/>
    <n v="6828.47"/>
    <x v="0"/>
    <x v="6"/>
    <x v="9"/>
  </r>
  <r>
    <x v="30"/>
    <n v="70000"/>
    <x v="1"/>
    <n v="6636.26"/>
    <x v="0"/>
    <x v="8"/>
    <x v="9"/>
  </r>
  <r>
    <x v="82"/>
    <n v="30000"/>
    <x v="1"/>
    <n v="1247.32"/>
    <x v="1"/>
    <x v="3"/>
    <x v="3"/>
  </r>
  <r>
    <x v="172"/>
    <n v="20000"/>
    <x v="0"/>
    <n v="1933.43"/>
    <x v="1"/>
    <x v="3"/>
    <x v="6"/>
  </r>
  <r>
    <x v="173"/>
    <n v="20000"/>
    <x v="0"/>
    <n v="8266.41"/>
    <x v="0"/>
    <x v="2"/>
    <x v="1"/>
  </r>
  <r>
    <x v="101"/>
    <n v="10000"/>
    <x v="0"/>
    <n v="6773.86"/>
    <x v="0"/>
    <x v="8"/>
    <x v="7"/>
  </r>
  <r>
    <x v="33"/>
    <n v="20000"/>
    <x v="0"/>
    <n v="5355.04"/>
    <x v="1"/>
    <x v="9"/>
    <x v="6"/>
  </r>
  <r>
    <x v="174"/>
    <n v="80000"/>
    <x v="0"/>
    <n v="4037.03"/>
    <x v="1"/>
    <x v="3"/>
    <x v="10"/>
  </r>
  <r>
    <x v="175"/>
    <n v="120000"/>
    <x v="0"/>
    <n v="8350.69"/>
    <x v="0"/>
    <x v="2"/>
    <x v="7"/>
  </r>
  <r>
    <x v="83"/>
    <n v="40000"/>
    <x v="0"/>
    <n v="1441.72"/>
    <x v="1"/>
    <x v="3"/>
    <x v="11"/>
  </r>
  <r>
    <x v="98"/>
    <n v="30000"/>
    <x v="0"/>
    <n v="3789.87"/>
    <x v="0"/>
    <x v="2"/>
    <x v="2"/>
  </r>
  <r>
    <x v="176"/>
    <n v="20000"/>
    <x v="1"/>
    <n v="2039.6"/>
    <x v="1"/>
    <x v="4"/>
    <x v="2"/>
  </r>
  <r>
    <x v="128"/>
    <n v="90000"/>
    <x v="1"/>
    <n v="4984.8900000000003"/>
    <x v="0"/>
    <x v="1"/>
    <x v="6"/>
  </r>
  <r>
    <x v="177"/>
    <n v="10000"/>
    <x v="0"/>
    <n v="1196.6500000000001"/>
    <x v="0"/>
    <x v="1"/>
    <x v="1"/>
  </r>
  <r>
    <x v="123"/>
    <n v="30000"/>
    <x v="0"/>
    <n v="7782.44"/>
    <x v="1"/>
    <x v="9"/>
    <x v="2"/>
  </r>
  <r>
    <x v="84"/>
    <n v="10000"/>
    <x v="1"/>
    <n v="588.45000000000005"/>
    <x v="1"/>
    <x v="3"/>
    <x v="3"/>
  </r>
  <r>
    <x v="155"/>
    <n v="70000"/>
    <x v="1"/>
    <n v="836.06"/>
    <x v="1"/>
    <x v="4"/>
    <x v="1"/>
  </r>
  <r>
    <x v="178"/>
    <n v="30000"/>
    <x v="0"/>
    <n v="8071.41"/>
    <x v="1"/>
    <x v="5"/>
    <x v="7"/>
  </r>
  <r>
    <x v="7"/>
    <n v="10000"/>
    <x v="0"/>
    <n v="5221.79"/>
    <x v="1"/>
    <x v="4"/>
    <x v="1"/>
  </r>
  <r>
    <x v="18"/>
    <n v="30000"/>
    <x v="0"/>
    <n v="5938.13"/>
    <x v="1"/>
    <x v="3"/>
    <x v="1"/>
  </r>
  <r>
    <x v="12"/>
    <n v="30000"/>
    <x v="0"/>
    <n v="2859.49"/>
    <x v="1"/>
    <x v="7"/>
    <x v="7"/>
  </r>
  <r>
    <x v="179"/>
    <n v="20000"/>
    <x v="0"/>
    <n v="5936.52"/>
    <x v="1"/>
    <x v="5"/>
    <x v="8"/>
  </r>
  <r>
    <x v="105"/>
    <n v="120000"/>
    <x v="0"/>
    <n v="852.21"/>
    <x v="0"/>
    <x v="1"/>
    <x v="9"/>
  </r>
  <r>
    <x v="20"/>
    <n v="110000"/>
    <x v="1"/>
    <n v="417.54"/>
    <x v="0"/>
    <x v="1"/>
    <x v="0"/>
  </r>
  <r>
    <x v="57"/>
    <n v="130000"/>
    <x v="0"/>
    <n v="3142.07"/>
    <x v="0"/>
    <x v="2"/>
    <x v="8"/>
  </r>
  <r>
    <x v="29"/>
    <n v="100000"/>
    <x v="1"/>
    <n v="4288.5"/>
    <x v="0"/>
    <x v="0"/>
    <x v="7"/>
  </r>
  <r>
    <x v="180"/>
    <n v="10000"/>
    <x v="1"/>
    <n v="2408.1799999999998"/>
    <x v="1"/>
    <x v="4"/>
    <x v="2"/>
  </r>
  <r>
    <x v="181"/>
    <n v="70000"/>
    <x v="1"/>
    <n v="4787.6099999999997"/>
    <x v="1"/>
    <x v="3"/>
    <x v="11"/>
  </r>
  <r>
    <x v="182"/>
    <n v="100000"/>
    <x v="1"/>
    <n v="4737.09"/>
    <x v="1"/>
    <x v="4"/>
    <x v="6"/>
  </r>
  <r>
    <x v="183"/>
    <n v="130000"/>
    <x v="0"/>
    <n v="9525.34"/>
    <x v="0"/>
    <x v="1"/>
    <x v="10"/>
  </r>
  <r>
    <x v="7"/>
    <n v="60000"/>
    <x v="1"/>
    <n v="5626.04"/>
    <x v="0"/>
    <x v="6"/>
    <x v="1"/>
  </r>
  <r>
    <x v="184"/>
    <n v="100000"/>
    <x v="0"/>
    <n v="6158.6"/>
    <x v="0"/>
    <x v="8"/>
    <x v="4"/>
  </r>
  <r>
    <x v="62"/>
    <n v="20000"/>
    <x v="1"/>
    <n v="6068.95"/>
    <x v="0"/>
    <x v="6"/>
    <x v="8"/>
  </r>
  <r>
    <x v="185"/>
    <n v="30000"/>
    <x v="0"/>
    <n v="6982"/>
    <x v="0"/>
    <x v="8"/>
    <x v="7"/>
  </r>
  <r>
    <x v="90"/>
    <n v="20000"/>
    <x v="0"/>
    <n v="8277.02"/>
    <x v="0"/>
    <x v="8"/>
    <x v="3"/>
  </r>
  <r>
    <x v="186"/>
    <n v="50000"/>
    <x v="0"/>
    <n v="9832.58"/>
    <x v="1"/>
    <x v="7"/>
    <x v="5"/>
  </r>
  <r>
    <x v="68"/>
    <n v="100000"/>
    <x v="0"/>
    <n v="9228.65"/>
    <x v="0"/>
    <x v="2"/>
    <x v="5"/>
  </r>
  <r>
    <x v="96"/>
    <n v="150000"/>
    <x v="1"/>
    <n v="3034.03"/>
    <x v="1"/>
    <x v="4"/>
    <x v="0"/>
  </r>
  <r>
    <x v="187"/>
    <n v="30000"/>
    <x v="0"/>
    <n v="133.54"/>
    <x v="0"/>
    <x v="1"/>
    <x v="2"/>
  </r>
  <r>
    <x v="188"/>
    <n v="40000"/>
    <x v="0"/>
    <n v="8411.92"/>
    <x v="1"/>
    <x v="5"/>
    <x v="8"/>
  </r>
  <r>
    <x v="1"/>
    <n v="10000"/>
    <x v="0"/>
    <n v="7166.55"/>
    <x v="1"/>
    <x v="9"/>
    <x v="1"/>
  </r>
  <r>
    <x v="189"/>
    <n v="70000"/>
    <x v="1"/>
    <n v="993.6"/>
    <x v="0"/>
    <x v="8"/>
    <x v="9"/>
  </r>
  <r>
    <x v="190"/>
    <n v="40000"/>
    <x v="0"/>
    <n v="1701.7"/>
    <x v="1"/>
    <x v="7"/>
    <x v="10"/>
  </r>
  <r>
    <x v="191"/>
    <n v="30000"/>
    <x v="0"/>
    <n v="8428.84"/>
    <x v="1"/>
    <x v="5"/>
    <x v="7"/>
  </r>
  <r>
    <x v="107"/>
    <n v="20000"/>
    <x v="0"/>
    <n v="8779.67"/>
    <x v="0"/>
    <x v="8"/>
    <x v="7"/>
  </r>
  <r>
    <x v="186"/>
    <n v="100000"/>
    <x v="1"/>
    <n v="7839.43"/>
    <x v="0"/>
    <x v="6"/>
    <x v="5"/>
  </r>
  <r>
    <x v="103"/>
    <n v="70000"/>
    <x v="1"/>
    <n v="5278.25"/>
    <x v="0"/>
    <x v="2"/>
    <x v="3"/>
  </r>
  <r>
    <x v="192"/>
    <n v="50000"/>
    <x v="0"/>
    <n v="5187.74"/>
    <x v="1"/>
    <x v="4"/>
    <x v="1"/>
  </r>
  <r>
    <x v="193"/>
    <n v="10000"/>
    <x v="0"/>
    <n v="6286.2"/>
    <x v="1"/>
    <x v="3"/>
    <x v="11"/>
  </r>
  <r>
    <x v="194"/>
    <n v="20000"/>
    <x v="0"/>
    <n v="2801.53"/>
    <x v="1"/>
    <x v="5"/>
    <x v="7"/>
  </r>
  <r>
    <x v="100"/>
    <n v="10000"/>
    <x v="0"/>
    <n v="7098.94"/>
    <x v="0"/>
    <x v="0"/>
    <x v="5"/>
  </r>
  <r>
    <x v="195"/>
    <n v="20000"/>
    <x v="0"/>
    <n v="5869.73"/>
    <x v="1"/>
    <x v="3"/>
    <x v="7"/>
  </r>
  <r>
    <x v="196"/>
    <n v="30000"/>
    <x v="0"/>
    <n v="3566.64"/>
    <x v="0"/>
    <x v="6"/>
    <x v="2"/>
  </r>
  <r>
    <x v="127"/>
    <n v="90000"/>
    <x v="1"/>
    <n v="8316.33"/>
    <x v="0"/>
    <x v="2"/>
    <x v="3"/>
  </r>
  <r>
    <x v="4"/>
    <n v="10000"/>
    <x v="0"/>
    <n v="7200.19"/>
    <x v="1"/>
    <x v="4"/>
    <x v="1"/>
  </r>
  <r>
    <x v="197"/>
    <n v="10000"/>
    <x v="0"/>
    <n v="3663.06"/>
    <x v="0"/>
    <x v="8"/>
    <x v="0"/>
  </r>
  <r>
    <x v="32"/>
    <n v="100000"/>
    <x v="1"/>
    <n v="1969.42"/>
    <x v="0"/>
    <x v="8"/>
    <x v="9"/>
  </r>
  <r>
    <x v="131"/>
    <n v="30000"/>
    <x v="0"/>
    <n v="6046.38"/>
    <x v="1"/>
    <x v="9"/>
    <x v="5"/>
  </r>
  <r>
    <x v="198"/>
    <n v="10000"/>
    <x v="0"/>
    <n v="3498.62"/>
    <x v="0"/>
    <x v="6"/>
    <x v="7"/>
  </r>
  <r>
    <x v="199"/>
    <n v="20000"/>
    <x v="0"/>
    <n v="3361.07"/>
    <x v="0"/>
    <x v="0"/>
    <x v="10"/>
  </r>
  <r>
    <x v="200"/>
    <n v="10000"/>
    <x v="0"/>
    <n v="1555.41"/>
    <x v="1"/>
    <x v="4"/>
    <x v="0"/>
  </r>
  <r>
    <x v="201"/>
    <n v="70000"/>
    <x v="1"/>
    <n v="9823.5499999999993"/>
    <x v="0"/>
    <x v="0"/>
    <x v="4"/>
  </r>
  <r>
    <x v="32"/>
    <n v="10000"/>
    <x v="0"/>
    <n v="5576.33"/>
    <x v="1"/>
    <x v="4"/>
    <x v="9"/>
  </r>
  <r>
    <x v="202"/>
    <n v="60000"/>
    <x v="1"/>
    <n v="7566.32"/>
    <x v="1"/>
    <x v="4"/>
    <x v="1"/>
  </r>
  <r>
    <x v="203"/>
    <n v="100000"/>
    <x v="1"/>
    <n v="1389.14"/>
    <x v="0"/>
    <x v="0"/>
    <x v="4"/>
  </r>
  <r>
    <x v="204"/>
    <n v="30000"/>
    <x v="0"/>
    <n v="1721.93"/>
    <x v="1"/>
    <x v="9"/>
    <x v="11"/>
  </r>
  <r>
    <x v="89"/>
    <n v="130000"/>
    <x v="1"/>
    <n v="6625.76"/>
    <x v="1"/>
    <x v="7"/>
    <x v="8"/>
  </r>
  <r>
    <x v="17"/>
    <n v="30000"/>
    <x v="1"/>
    <n v="3690.79"/>
    <x v="0"/>
    <x v="6"/>
    <x v="10"/>
  </r>
  <r>
    <x v="161"/>
    <n v="60000"/>
    <x v="1"/>
    <n v="6483.4"/>
    <x v="0"/>
    <x v="6"/>
    <x v="5"/>
  </r>
  <r>
    <x v="205"/>
    <n v="40000"/>
    <x v="0"/>
    <n v="8517.24"/>
    <x v="0"/>
    <x v="0"/>
    <x v="11"/>
  </r>
  <r>
    <x v="206"/>
    <n v="40000"/>
    <x v="0"/>
    <n v="6570.15"/>
    <x v="0"/>
    <x v="2"/>
    <x v="7"/>
  </r>
  <r>
    <x v="139"/>
    <n v="10000"/>
    <x v="0"/>
    <n v="7298.29"/>
    <x v="1"/>
    <x v="7"/>
    <x v="1"/>
  </r>
  <r>
    <x v="207"/>
    <n v="20000"/>
    <x v="0"/>
    <n v="5292.29"/>
    <x v="1"/>
    <x v="9"/>
    <x v="6"/>
  </r>
  <r>
    <x v="38"/>
    <n v="110000"/>
    <x v="1"/>
    <n v="8765.9599999999991"/>
    <x v="0"/>
    <x v="2"/>
    <x v="2"/>
  </r>
  <r>
    <x v="109"/>
    <n v="60000"/>
    <x v="1"/>
    <n v="295.92"/>
    <x v="1"/>
    <x v="5"/>
    <x v="6"/>
  </r>
  <r>
    <x v="64"/>
    <n v="100000"/>
    <x v="1"/>
    <n v="7672.16"/>
    <x v="1"/>
    <x v="5"/>
    <x v="8"/>
  </r>
  <r>
    <x v="79"/>
    <n v="90000"/>
    <x v="0"/>
    <n v="2849.12"/>
    <x v="1"/>
    <x v="9"/>
    <x v="2"/>
  </r>
  <r>
    <x v="107"/>
    <n v="30000"/>
    <x v="1"/>
    <n v="1020.55"/>
    <x v="0"/>
    <x v="2"/>
    <x v="7"/>
  </r>
  <r>
    <x v="166"/>
    <n v="10000"/>
    <x v="1"/>
    <n v="6628.82"/>
    <x v="1"/>
    <x v="9"/>
    <x v="9"/>
  </r>
  <r>
    <x v="8"/>
    <n v="40000"/>
    <x v="1"/>
    <n v="5674.27"/>
    <x v="1"/>
    <x v="9"/>
    <x v="5"/>
  </r>
  <r>
    <x v="208"/>
    <n v="30000"/>
    <x v="0"/>
    <n v="9065.8700000000008"/>
    <x v="1"/>
    <x v="5"/>
    <x v="2"/>
  </r>
  <r>
    <x v="209"/>
    <n v="30000"/>
    <x v="0"/>
    <n v="9605.2900000000009"/>
    <x v="0"/>
    <x v="6"/>
    <x v="8"/>
  </r>
  <r>
    <x v="82"/>
    <n v="80000"/>
    <x v="1"/>
    <n v="933.01"/>
    <x v="0"/>
    <x v="2"/>
    <x v="3"/>
  </r>
  <r>
    <x v="145"/>
    <n v="10000"/>
    <x v="1"/>
    <n v="6918.43"/>
    <x v="0"/>
    <x v="0"/>
    <x v="2"/>
  </r>
  <r>
    <x v="6"/>
    <n v="90000"/>
    <x v="1"/>
    <n v="1144.32"/>
    <x v="0"/>
    <x v="2"/>
    <x v="4"/>
  </r>
  <r>
    <x v="127"/>
    <n v="10000"/>
    <x v="0"/>
    <n v="3989.82"/>
    <x v="0"/>
    <x v="2"/>
    <x v="3"/>
  </r>
  <r>
    <x v="42"/>
    <n v="40000"/>
    <x v="0"/>
    <n v="9780.74"/>
    <x v="0"/>
    <x v="0"/>
    <x v="9"/>
  </r>
  <r>
    <x v="29"/>
    <n v="20000"/>
    <x v="0"/>
    <n v="1329.94"/>
    <x v="1"/>
    <x v="5"/>
    <x v="7"/>
  </r>
  <r>
    <x v="90"/>
    <n v="120000"/>
    <x v="1"/>
    <n v="9795.76"/>
    <x v="1"/>
    <x v="7"/>
    <x v="3"/>
  </r>
  <r>
    <x v="210"/>
    <n v="60000"/>
    <x v="1"/>
    <n v="7585.39"/>
    <x v="0"/>
    <x v="0"/>
    <x v="3"/>
  </r>
  <r>
    <x v="130"/>
    <n v="20000"/>
    <x v="1"/>
    <n v="6361.68"/>
    <x v="0"/>
    <x v="2"/>
    <x v="6"/>
  </r>
  <r>
    <x v="211"/>
    <n v="40000"/>
    <x v="1"/>
    <n v="3089.5"/>
    <x v="1"/>
    <x v="5"/>
    <x v="5"/>
  </r>
  <r>
    <x v="212"/>
    <n v="80000"/>
    <x v="1"/>
    <n v="6704.26"/>
    <x v="0"/>
    <x v="8"/>
    <x v="10"/>
  </r>
  <r>
    <x v="140"/>
    <n v="70000"/>
    <x v="1"/>
    <n v="879.97"/>
    <x v="0"/>
    <x v="0"/>
    <x v="11"/>
  </r>
  <r>
    <x v="20"/>
    <n v="50000"/>
    <x v="1"/>
    <n v="2373.1799999999998"/>
    <x v="1"/>
    <x v="4"/>
    <x v="0"/>
  </r>
  <r>
    <x v="213"/>
    <n v="30000"/>
    <x v="0"/>
    <n v="5298.97"/>
    <x v="0"/>
    <x v="8"/>
    <x v="0"/>
  </r>
  <r>
    <x v="196"/>
    <n v="130000"/>
    <x v="0"/>
    <n v="1783.8"/>
    <x v="1"/>
    <x v="3"/>
    <x v="2"/>
  </r>
  <r>
    <x v="194"/>
    <n v="30000"/>
    <x v="0"/>
    <n v="687.23"/>
    <x v="0"/>
    <x v="1"/>
    <x v="7"/>
  </r>
  <r>
    <x v="214"/>
    <n v="100000"/>
    <x v="1"/>
    <n v="9333.17"/>
    <x v="1"/>
    <x v="9"/>
    <x v="2"/>
  </r>
  <r>
    <x v="184"/>
    <n v="160000"/>
    <x v="1"/>
    <n v="2239.1799999999998"/>
    <x v="1"/>
    <x v="9"/>
    <x v="4"/>
  </r>
  <r>
    <x v="52"/>
    <n v="10000"/>
    <x v="0"/>
    <n v="8589.58"/>
    <x v="0"/>
    <x v="8"/>
    <x v="11"/>
  </r>
  <r>
    <x v="198"/>
    <n v="40000"/>
    <x v="0"/>
    <n v="213.27"/>
    <x v="0"/>
    <x v="1"/>
    <x v="7"/>
  </r>
  <r>
    <x v="215"/>
    <n v="90000"/>
    <x v="1"/>
    <n v="903.12"/>
    <x v="1"/>
    <x v="9"/>
    <x v="10"/>
  </r>
  <r>
    <x v="153"/>
    <n v="40000"/>
    <x v="0"/>
    <n v="3409.63"/>
    <x v="1"/>
    <x v="4"/>
    <x v="1"/>
  </r>
  <r>
    <x v="216"/>
    <n v="20000"/>
    <x v="1"/>
    <n v="6182.78"/>
    <x v="0"/>
    <x v="2"/>
    <x v="1"/>
  </r>
  <r>
    <x v="217"/>
    <n v="30000"/>
    <x v="0"/>
    <n v="2163.0300000000002"/>
    <x v="0"/>
    <x v="1"/>
    <x v="9"/>
  </r>
  <r>
    <x v="218"/>
    <n v="40000"/>
    <x v="0"/>
    <n v="8838.66"/>
    <x v="0"/>
    <x v="6"/>
    <x v="10"/>
  </r>
  <r>
    <x v="8"/>
    <n v="90000"/>
    <x v="0"/>
    <n v="8986.5499999999993"/>
    <x v="0"/>
    <x v="1"/>
    <x v="5"/>
  </r>
  <r>
    <x v="86"/>
    <n v="80000"/>
    <x v="1"/>
    <n v="8254.7900000000009"/>
    <x v="1"/>
    <x v="9"/>
    <x v="4"/>
  </r>
  <r>
    <x v="219"/>
    <n v="10000"/>
    <x v="0"/>
    <n v="3301.04"/>
    <x v="1"/>
    <x v="3"/>
    <x v="2"/>
  </r>
  <r>
    <x v="69"/>
    <n v="20000"/>
    <x v="0"/>
    <n v="6879.56"/>
    <x v="0"/>
    <x v="0"/>
    <x v="1"/>
  </r>
  <r>
    <x v="220"/>
    <n v="130000"/>
    <x v="0"/>
    <n v="8588.26"/>
    <x v="0"/>
    <x v="8"/>
    <x v="3"/>
  </r>
  <r>
    <x v="221"/>
    <n v="90000"/>
    <x v="1"/>
    <n v="7301.19"/>
    <x v="0"/>
    <x v="8"/>
    <x v="1"/>
  </r>
  <r>
    <x v="222"/>
    <n v="80000"/>
    <x v="1"/>
    <n v="8796.93"/>
    <x v="1"/>
    <x v="4"/>
    <x v="2"/>
  </r>
  <r>
    <x v="195"/>
    <n v="20000"/>
    <x v="0"/>
    <n v="637.22"/>
    <x v="0"/>
    <x v="1"/>
    <x v="7"/>
  </r>
  <r>
    <x v="95"/>
    <n v="10000"/>
    <x v="0"/>
    <n v="9367.89"/>
    <x v="0"/>
    <x v="1"/>
    <x v="6"/>
  </r>
  <r>
    <x v="203"/>
    <n v="120000"/>
    <x v="0"/>
    <n v="2181.29"/>
    <x v="0"/>
    <x v="0"/>
    <x v="4"/>
  </r>
  <r>
    <x v="82"/>
    <n v="20000"/>
    <x v="0"/>
    <n v="1592.13"/>
    <x v="0"/>
    <x v="6"/>
    <x v="3"/>
  </r>
  <r>
    <x v="223"/>
    <n v="30000"/>
    <x v="0"/>
    <n v="8149.9"/>
    <x v="0"/>
    <x v="6"/>
    <x v="11"/>
  </r>
  <r>
    <x v="214"/>
    <n v="30000"/>
    <x v="0"/>
    <n v="2761.82"/>
    <x v="0"/>
    <x v="8"/>
    <x v="2"/>
  </r>
  <r>
    <x v="224"/>
    <n v="10000"/>
    <x v="0"/>
    <n v="8524.9500000000007"/>
    <x v="1"/>
    <x v="4"/>
    <x v="9"/>
  </r>
  <r>
    <x v="95"/>
    <n v="30000"/>
    <x v="0"/>
    <n v="7346.98"/>
    <x v="1"/>
    <x v="7"/>
    <x v="6"/>
  </r>
  <r>
    <x v="225"/>
    <n v="30000"/>
    <x v="0"/>
    <n v="5005.08"/>
    <x v="0"/>
    <x v="6"/>
    <x v="5"/>
  </r>
  <r>
    <x v="122"/>
    <n v="20000"/>
    <x v="0"/>
    <n v="4967.17"/>
    <x v="0"/>
    <x v="6"/>
    <x v="6"/>
  </r>
  <r>
    <x v="226"/>
    <n v="40000"/>
    <x v="0"/>
    <n v="5812.48"/>
    <x v="0"/>
    <x v="8"/>
    <x v="6"/>
  </r>
  <r>
    <x v="174"/>
    <n v="60000"/>
    <x v="1"/>
    <n v="1441.5"/>
    <x v="1"/>
    <x v="5"/>
    <x v="10"/>
  </r>
  <r>
    <x v="227"/>
    <n v="20000"/>
    <x v="0"/>
    <n v="4162.2"/>
    <x v="0"/>
    <x v="8"/>
    <x v="2"/>
  </r>
  <r>
    <x v="228"/>
    <n v="30000"/>
    <x v="0"/>
    <n v="897.68"/>
    <x v="0"/>
    <x v="8"/>
    <x v="1"/>
  </r>
  <r>
    <x v="229"/>
    <n v="20000"/>
    <x v="1"/>
    <n v="4057.86"/>
    <x v="0"/>
    <x v="2"/>
    <x v="0"/>
  </r>
  <r>
    <x v="230"/>
    <n v="10000"/>
    <x v="0"/>
    <n v="6881.39"/>
    <x v="0"/>
    <x v="6"/>
    <x v="3"/>
  </r>
  <r>
    <x v="231"/>
    <n v="80000"/>
    <x v="0"/>
    <n v="1084.81"/>
    <x v="0"/>
    <x v="1"/>
    <x v="6"/>
  </r>
  <r>
    <x v="109"/>
    <n v="40000"/>
    <x v="0"/>
    <n v="6513.86"/>
    <x v="1"/>
    <x v="5"/>
    <x v="6"/>
  </r>
  <r>
    <x v="191"/>
    <n v="30000"/>
    <x v="0"/>
    <n v="9691.69"/>
    <x v="1"/>
    <x v="7"/>
    <x v="7"/>
  </r>
  <r>
    <x v="9"/>
    <n v="80000"/>
    <x v="1"/>
    <n v="1368.87"/>
    <x v="1"/>
    <x v="7"/>
    <x v="6"/>
  </r>
  <r>
    <x v="232"/>
    <n v="150000"/>
    <x v="0"/>
    <n v="6985.85"/>
    <x v="0"/>
    <x v="2"/>
    <x v="10"/>
  </r>
  <r>
    <x v="233"/>
    <n v="10000"/>
    <x v="0"/>
    <n v="124.57"/>
    <x v="1"/>
    <x v="5"/>
    <x v="3"/>
  </r>
  <r>
    <x v="234"/>
    <n v="90000"/>
    <x v="0"/>
    <n v="1105.48"/>
    <x v="0"/>
    <x v="8"/>
    <x v="0"/>
  </r>
  <r>
    <x v="174"/>
    <n v="80000"/>
    <x v="1"/>
    <n v="3760.76"/>
    <x v="0"/>
    <x v="8"/>
    <x v="10"/>
  </r>
  <r>
    <x v="235"/>
    <n v="130000"/>
    <x v="1"/>
    <n v="5186.66"/>
    <x v="1"/>
    <x v="5"/>
    <x v="2"/>
  </r>
  <r>
    <x v="236"/>
    <n v="30000"/>
    <x v="0"/>
    <n v="7904.74"/>
    <x v="1"/>
    <x v="9"/>
    <x v="8"/>
  </r>
  <r>
    <x v="211"/>
    <n v="40000"/>
    <x v="0"/>
    <n v="7495.12"/>
    <x v="0"/>
    <x v="6"/>
    <x v="5"/>
  </r>
  <r>
    <x v="237"/>
    <n v="40000"/>
    <x v="1"/>
    <n v="4319.1400000000003"/>
    <x v="1"/>
    <x v="9"/>
    <x v="0"/>
  </r>
  <r>
    <x v="238"/>
    <n v="10000"/>
    <x v="0"/>
    <n v="5869.93"/>
    <x v="0"/>
    <x v="6"/>
    <x v="10"/>
  </r>
  <r>
    <x v="234"/>
    <n v="40000"/>
    <x v="0"/>
    <n v="5081.8"/>
    <x v="0"/>
    <x v="1"/>
    <x v="0"/>
  </r>
  <r>
    <x v="108"/>
    <n v="60000"/>
    <x v="1"/>
    <n v="9123.7999999999993"/>
    <x v="0"/>
    <x v="1"/>
    <x v="7"/>
  </r>
  <r>
    <x v="239"/>
    <n v="130000"/>
    <x v="0"/>
    <n v="1009.84"/>
    <x v="0"/>
    <x v="1"/>
    <x v="0"/>
  </r>
  <r>
    <x v="240"/>
    <n v="30000"/>
    <x v="1"/>
    <n v="9729.26"/>
    <x v="0"/>
    <x v="0"/>
    <x v="7"/>
  </r>
  <r>
    <x v="184"/>
    <n v="20000"/>
    <x v="0"/>
    <n v="4715.43"/>
    <x v="0"/>
    <x v="6"/>
    <x v="4"/>
  </r>
  <r>
    <x v="241"/>
    <n v="100000"/>
    <x v="1"/>
    <n v="7640.77"/>
    <x v="0"/>
    <x v="1"/>
    <x v="6"/>
  </r>
  <r>
    <x v="242"/>
    <n v="80000"/>
    <x v="1"/>
    <n v="7137.11"/>
    <x v="0"/>
    <x v="1"/>
    <x v="8"/>
  </r>
  <r>
    <x v="181"/>
    <n v="40000"/>
    <x v="0"/>
    <n v="7682.1"/>
    <x v="0"/>
    <x v="0"/>
    <x v="11"/>
  </r>
  <r>
    <x v="243"/>
    <n v="20000"/>
    <x v="0"/>
    <n v="7871.78"/>
    <x v="1"/>
    <x v="7"/>
    <x v="10"/>
  </r>
  <r>
    <x v="13"/>
    <n v="80000"/>
    <x v="1"/>
    <n v="2084.4499999999998"/>
    <x v="0"/>
    <x v="6"/>
    <x v="5"/>
  </r>
  <r>
    <x v="244"/>
    <n v="40000"/>
    <x v="0"/>
    <n v="8666.92"/>
    <x v="0"/>
    <x v="2"/>
    <x v="3"/>
  </r>
  <r>
    <x v="218"/>
    <n v="20000"/>
    <x v="0"/>
    <n v="2413.16"/>
    <x v="0"/>
    <x v="2"/>
    <x v="10"/>
  </r>
  <r>
    <x v="232"/>
    <n v="130000"/>
    <x v="0"/>
    <n v="1495.54"/>
    <x v="1"/>
    <x v="9"/>
    <x v="10"/>
  </r>
  <r>
    <x v="245"/>
    <n v="30000"/>
    <x v="1"/>
    <n v="769.22"/>
    <x v="0"/>
    <x v="1"/>
    <x v="0"/>
  </r>
  <r>
    <x v="246"/>
    <n v="60000"/>
    <x v="1"/>
    <n v="1862.8"/>
    <x v="0"/>
    <x v="6"/>
    <x v="11"/>
  </r>
  <r>
    <x v="239"/>
    <n v="70000"/>
    <x v="1"/>
    <n v="1881.43"/>
    <x v="0"/>
    <x v="8"/>
    <x v="0"/>
  </r>
  <r>
    <x v="197"/>
    <n v="30000"/>
    <x v="1"/>
    <n v="3012.08"/>
    <x v="0"/>
    <x v="6"/>
    <x v="0"/>
  </r>
  <r>
    <x v="202"/>
    <n v="80000"/>
    <x v="0"/>
    <n v="8173.09"/>
    <x v="0"/>
    <x v="1"/>
    <x v="1"/>
  </r>
  <r>
    <x v="207"/>
    <n v="40000"/>
    <x v="0"/>
    <n v="9720.52"/>
    <x v="1"/>
    <x v="4"/>
    <x v="6"/>
  </r>
  <r>
    <x v="106"/>
    <n v="10000"/>
    <x v="1"/>
    <n v="5971.42"/>
    <x v="0"/>
    <x v="8"/>
    <x v="11"/>
  </r>
  <r>
    <x v="247"/>
    <n v="30000"/>
    <x v="0"/>
    <n v="1225.1600000000001"/>
    <x v="1"/>
    <x v="4"/>
    <x v="2"/>
  </r>
  <r>
    <x v="248"/>
    <n v="120000"/>
    <x v="1"/>
    <n v="5246.72"/>
    <x v="1"/>
    <x v="4"/>
    <x v="0"/>
  </r>
  <r>
    <x v="249"/>
    <n v="20000"/>
    <x v="0"/>
    <n v="2704.22"/>
    <x v="0"/>
    <x v="1"/>
    <x v="6"/>
  </r>
  <r>
    <x v="84"/>
    <n v="30000"/>
    <x v="0"/>
    <n v="2226.1"/>
    <x v="0"/>
    <x v="1"/>
    <x v="3"/>
  </r>
  <r>
    <x v="250"/>
    <n v="80000"/>
    <x v="1"/>
    <n v="3213.25"/>
    <x v="1"/>
    <x v="9"/>
    <x v="10"/>
  </r>
  <r>
    <x v="14"/>
    <n v="70000"/>
    <x v="1"/>
    <n v="6481.97"/>
    <x v="1"/>
    <x v="4"/>
    <x v="8"/>
  </r>
  <r>
    <x v="177"/>
    <n v="70000"/>
    <x v="1"/>
    <n v="4910.38"/>
    <x v="1"/>
    <x v="7"/>
    <x v="1"/>
  </r>
  <r>
    <x v="251"/>
    <n v="20000"/>
    <x v="0"/>
    <n v="8166.61"/>
    <x v="1"/>
    <x v="7"/>
    <x v="0"/>
  </r>
  <r>
    <x v="175"/>
    <n v="10000"/>
    <x v="0"/>
    <n v="2300.9699999999998"/>
    <x v="0"/>
    <x v="6"/>
    <x v="7"/>
  </r>
  <r>
    <x v="45"/>
    <n v="40000"/>
    <x v="0"/>
    <n v="7144.33"/>
    <x v="0"/>
    <x v="0"/>
    <x v="9"/>
  </r>
  <r>
    <x v="252"/>
    <n v="30000"/>
    <x v="0"/>
    <n v="5737.17"/>
    <x v="0"/>
    <x v="0"/>
    <x v="3"/>
  </r>
  <r>
    <x v="253"/>
    <n v="60000"/>
    <x v="1"/>
    <n v="9681.86"/>
    <x v="0"/>
    <x v="8"/>
    <x v="11"/>
  </r>
  <r>
    <x v="116"/>
    <n v="10000"/>
    <x v="1"/>
    <n v="423.55"/>
    <x v="0"/>
    <x v="2"/>
    <x v="4"/>
  </r>
  <r>
    <x v="254"/>
    <n v="30000"/>
    <x v="0"/>
    <n v="4265.3900000000003"/>
    <x v="0"/>
    <x v="8"/>
    <x v="9"/>
  </r>
  <r>
    <x v="184"/>
    <n v="40000"/>
    <x v="1"/>
    <n v="9659.2099999999991"/>
    <x v="0"/>
    <x v="1"/>
    <x v="4"/>
  </r>
  <r>
    <x v="163"/>
    <n v="110000"/>
    <x v="0"/>
    <n v="3355.82"/>
    <x v="0"/>
    <x v="0"/>
    <x v="4"/>
  </r>
  <r>
    <x v="255"/>
    <n v="40000"/>
    <x v="0"/>
    <n v="2960"/>
    <x v="0"/>
    <x v="2"/>
    <x v="4"/>
  </r>
  <r>
    <x v="89"/>
    <n v="10000"/>
    <x v="0"/>
    <n v="7744.13"/>
    <x v="0"/>
    <x v="8"/>
    <x v="8"/>
  </r>
  <r>
    <x v="233"/>
    <n v="20000"/>
    <x v="0"/>
    <n v="824.02"/>
    <x v="0"/>
    <x v="1"/>
    <x v="3"/>
  </r>
  <r>
    <x v="84"/>
    <n v="30000"/>
    <x v="1"/>
    <n v="3939.5"/>
    <x v="0"/>
    <x v="8"/>
    <x v="3"/>
  </r>
  <r>
    <x v="2"/>
    <n v="30000"/>
    <x v="0"/>
    <n v="2443.64"/>
    <x v="0"/>
    <x v="6"/>
    <x v="0"/>
  </r>
  <r>
    <x v="248"/>
    <n v="40000"/>
    <x v="0"/>
    <n v="6001.92"/>
    <x v="0"/>
    <x v="2"/>
    <x v="0"/>
  </r>
  <r>
    <x v="74"/>
    <n v="90000"/>
    <x v="1"/>
    <n v="1947.2"/>
    <x v="1"/>
    <x v="9"/>
    <x v="0"/>
  </r>
  <r>
    <x v="115"/>
    <n v="40000"/>
    <x v="0"/>
    <n v="928.08"/>
    <x v="1"/>
    <x v="3"/>
    <x v="10"/>
  </r>
  <r>
    <x v="33"/>
    <n v="130000"/>
    <x v="0"/>
    <n v="6091.19"/>
    <x v="0"/>
    <x v="0"/>
    <x v="6"/>
  </r>
  <r>
    <x v="87"/>
    <n v="20000"/>
    <x v="0"/>
    <n v="5592.43"/>
    <x v="1"/>
    <x v="9"/>
    <x v="5"/>
  </r>
  <r>
    <x v="88"/>
    <n v="70000"/>
    <x v="1"/>
    <n v="5562.31"/>
    <x v="0"/>
    <x v="0"/>
    <x v="2"/>
  </r>
  <r>
    <x v="176"/>
    <n v="40000"/>
    <x v="0"/>
    <n v="7929.95"/>
    <x v="1"/>
    <x v="9"/>
    <x v="2"/>
  </r>
  <r>
    <x v="182"/>
    <n v="30000"/>
    <x v="1"/>
    <n v="1599.78"/>
    <x v="1"/>
    <x v="9"/>
    <x v="6"/>
  </r>
  <r>
    <x v="105"/>
    <n v="40000"/>
    <x v="0"/>
    <n v="7797.19"/>
    <x v="1"/>
    <x v="9"/>
    <x v="9"/>
  </r>
  <r>
    <x v="13"/>
    <n v="80000"/>
    <x v="1"/>
    <n v="692.77"/>
    <x v="0"/>
    <x v="2"/>
    <x v="5"/>
  </r>
  <r>
    <x v="256"/>
    <n v="60000"/>
    <x v="1"/>
    <n v="5031.09"/>
    <x v="0"/>
    <x v="6"/>
    <x v="0"/>
  </r>
  <r>
    <x v="51"/>
    <n v="30000"/>
    <x v="1"/>
    <n v="9669.3700000000008"/>
    <x v="1"/>
    <x v="5"/>
    <x v="10"/>
  </r>
  <r>
    <x v="165"/>
    <n v="30000"/>
    <x v="0"/>
    <n v="3558.84"/>
    <x v="1"/>
    <x v="3"/>
    <x v="0"/>
  </r>
  <r>
    <x v="55"/>
    <n v="10000"/>
    <x v="0"/>
    <n v="1134.8499999999999"/>
    <x v="0"/>
    <x v="2"/>
    <x v="5"/>
  </r>
  <r>
    <x v="196"/>
    <n v="100000"/>
    <x v="0"/>
    <n v="2482.15"/>
    <x v="0"/>
    <x v="8"/>
    <x v="2"/>
  </r>
  <r>
    <x v="144"/>
    <n v="10000"/>
    <x v="0"/>
    <n v="1783.77"/>
    <x v="1"/>
    <x v="4"/>
    <x v="3"/>
  </r>
  <r>
    <x v="257"/>
    <n v="110000"/>
    <x v="1"/>
    <n v="9357.7999999999993"/>
    <x v="1"/>
    <x v="7"/>
    <x v="5"/>
  </r>
  <r>
    <x v="145"/>
    <n v="30000"/>
    <x v="0"/>
    <n v="6778.95"/>
    <x v="1"/>
    <x v="4"/>
    <x v="2"/>
  </r>
  <r>
    <x v="235"/>
    <n v="10000"/>
    <x v="0"/>
    <n v="7600.8"/>
    <x v="0"/>
    <x v="0"/>
    <x v="2"/>
  </r>
  <r>
    <x v="111"/>
    <n v="40000"/>
    <x v="1"/>
    <n v="5764.75"/>
    <x v="0"/>
    <x v="2"/>
    <x v="6"/>
  </r>
  <r>
    <x v="34"/>
    <n v="30000"/>
    <x v="0"/>
    <n v="8750.82"/>
    <x v="1"/>
    <x v="7"/>
    <x v="6"/>
  </r>
  <r>
    <x v="156"/>
    <n v="90000"/>
    <x v="1"/>
    <n v="2047.42"/>
    <x v="0"/>
    <x v="2"/>
    <x v="1"/>
  </r>
  <r>
    <x v="258"/>
    <n v="110000"/>
    <x v="1"/>
    <n v="7928.72"/>
    <x v="1"/>
    <x v="4"/>
    <x v="10"/>
  </r>
  <r>
    <x v="259"/>
    <n v="30000"/>
    <x v="0"/>
    <n v="3961.46"/>
    <x v="0"/>
    <x v="2"/>
    <x v="2"/>
  </r>
  <r>
    <x v="70"/>
    <n v="30000"/>
    <x v="1"/>
    <n v="4905.74"/>
    <x v="1"/>
    <x v="3"/>
    <x v="0"/>
  </r>
  <r>
    <x v="64"/>
    <n v="20000"/>
    <x v="1"/>
    <n v="7568.59"/>
    <x v="0"/>
    <x v="6"/>
    <x v="8"/>
  </r>
  <r>
    <x v="73"/>
    <n v="110000"/>
    <x v="1"/>
    <n v="4502.8500000000004"/>
    <x v="1"/>
    <x v="5"/>
    <x v="7"/>
  </r>
  <r>
    <x v="50"/>
    <n v="30000"/>
    <x v="0"/>
    <n v="5244.49"/>
    <x v="1"/>
    <x v="9"/>
    <x v="7"/>
  </r>
  <r>
    <x v="15"/>
    <n v="30000"/>
    <x v="1"/>
    <n v="5185.13"/>
    <x v="0"/>
    <x v="0"/>
    <x v="9"/>
  </r>
  <r>
    <x v="103"/>
    <n v="10000"/>
    <x v="0"/>
    <n v="8961.09"/>
    <x v="1"/>
    <x v="4"/>
    <x v="3"/>
  </r>
  <r>
    <x v="85"/>
    <n v="80000"/>
    <x v="1"/>
    <n v="5433.06"/>
    <x v="1"/>
    <x v="5"/>
    <x v="6"/>
  </r>
  <r>
    <x v="260"/>
    <n v="30000"/>
    <x v="0"/>
    <n v="287.54000000000002"/>
    <x v="0"/>
    <x v="2"/>
    <x v="0"/>
  </r>
  <r>
    <x v="124"/>
    <n v="80000"/>
    <x v="0"/>
    <n v="4504.41"/>
    <x v="1"/>
    <x v="5"/>
    <x v="4"/>
  </r>
  <r>
    <x v="194"/>
    <n v="70000"/>
    <x v="1"/>
    <n v="9272.34"/>
    <x v="0"/>
    <x v="6"/>
    <x v="7"/>
  </r>
  <r>
    <x v="208"/>
    <n v="90000"/>
    <x v="1"/>
    <n v="8766.7999999999993"/>
    <x v="0"/>
    <x v="8"/>
    <x v="2"/>
  </r>
  <r>
    <x v="261"/>
    <n v="70000"/>
    <x v="1"/>
    <n v="9403.4500000000007"/>
    <x v="0"/>
    <x v="1"/>
    <x v="4"/>
  </r>
  <r>
    <x v="129"/>
    <n v="80000"/>
    <x v="1"/>
    <n v="7298.46"/>
    <x v="0"/>
    <x v="2"/>
    <x v="4"/>
  </r>
  <r>
    <x v="248"/>
    <n v="40000"/>
    <x v="0"/>
    <n v="616.41999999999996"/>
    <x v="0"/>
    <x v="2"/>
    <x v="0"/>
  </r>
  <r>
    <x v="158"/>
    <n v="30000"/>
    <x v="0"/>
    <n v="5879.07"/>
    <x v="0"/>
    <x v="8"/>
    <x v="1"/>
  </r>
  <r>
    <x v="145"/>
    <n v="40000"/>
    <x v="0"/>
    <n v="9902.57"/>
    <x v="0"/>
    <x v="6"/>
    <x v="2"/>
  </r>
  <r>
    <x v="110"/>
    <n v="130000"/>
    <x v="1"/>
    <n v="5940.67"/>
    <x v="1"/>
    <x v="9"/>
    <x v="5"/>
  </r>
  <r>
    <x v="102"/>
    <n v="40000"/>
    <x v="0"/>
    <n v="3839.35"/>
    <x v="1"/>
    <x v="4"/>
    <x v="4"/>
  </r>
  <r>
    <x v="262"/>
    <n v="30000"/>
    <x v="0"/>
    <n v="9269.6299999999992"/>
    <x v="0"/>
    <x v="2"/>
    <x v="11"/>
  </r>
  <r>
    <x v="263"/>
    <n v="40000"/>
    <x v="0"/>
    <n v="9435.91"/>
    <x v="0"/>
    <x v="1"/>
    <x v="3"/>
  </r>
  <r>
    <x v="91"/>
    <n v="10000"/>
    <x v="0"/>
    <n v="5875.79"/>
    <x v="0"/>
    <x v="1"/>
    <x v="11"/>
  </r>
  <r>
    <x v="264"/>
    <n v="40000"/>
    <x v="0"/>
    <n v="7288.65"/>
    <x v="0"/>
    <x v="0"/>
    <x v="5"/>
  </r>
  <r>
    <x v="20"/>
    <n v="30000"/>
    <x v="1"/>
    <n v="9812.07"/>
    <x v="0"/>
    <x v="1"/>
    <x v="0"/>
  </r>
  <r>
    <x v="124"/>
    <n v="70000"/>
    <x v="1"/>
    <n v="162.94"/>
    <x v="0"/>
    <x v="6"/>
    <x v="4"/>
  </r>
  <r>
    <x v="236"/>
    <n v="30000"/>
    <x v="0"/>
    <n v="4839.34"/>
    <x v="0"/>
    <x v="6"/>
    <x v="8"/>
  </r>
  <r>
    <x v="178"/>
    <n v="80000"/>
    <x v="0"/>
    <n v="3001.07"/>
    <x v="0"/>
    <x v="1"/>
    <x v="7"/>
  </r>
  <r>
    <x v="151"/>
    <n v="120000"/>
    <x v="0"/>
    <n v="6942.38"/>
    <x v="1"/>
    <x v="5"/>
    <x v="3"/>
  </r>
  <r>
    <x v="220"/>
    <n v="20000"/>
    <x v="0"/>
    <n v="3414.47"/>
    <x v="1"/>
    <x v="3"/>
    <x v="3"/>
  </r>
  <r>
    <x v="164"/>
    <n v="120000"/>
    <x v="1"/>
    <n v="5945.93"/>
    <x v="1"/>
    <x v="9"/>
    <x v="6"/>
  </r>
  <r>
    <x v="243"/>
    <n v="80000"/>
    <x v="1"/>
    <n v="1942.95"/>
    <x v="0"/>
    <x v="2"/>
    <x v="10"/>
  </r>
  <r>
    <x v="250"/>
    <n v="20000"/>
    <x v="0"/>
    <n v="3211.35"/>
    <x v="0"/>
    <x v="8"/>
    <x v="10"/>
  </r>
  <r>
    <x v="37"/>
    <n v="120000"/>
    <x v="1"/>
    <n v="6144.58"/>
    <x v="1"/>
    <x v="4"/>
    <x v="0"/>
  </r>
  <r>
    <x v="265"/>
    <n v="40000"/>
    <x v="0"/>
    <n v="172.96"/>
    <x v="0"/>
    <x v="2"/>
    <x v="4"/>
  </r>
  <r>
    <x v="44"/>
    <n v="20000"/>
    <x v="0"/>
    <n v="8573.5"/>
    <x v="0"/>
    <x v="1"/>
    <x v="3"/>
  </r>
  <r>
    <x v="266"/>
    <n v="30000"/>
    <x v="0"/>
    <n v="131.38"/>
    <x v="1"/>
    <x v="9"/>
    <x v="9"/>
  </r>
  <r>
    <x v="267"/>
    <n v="40000"/>
    <x v="1"/>
    <n v="8491.1"/>
    <x v="1"/>
    <x v="4"/>
    <x v="8"/>
  </r>
  <r>
    <x v="268"/>
    <n v="30000"/>
    <x v="0"/>
    <n v="5076.5"/>
    <x v="0"/>
    <x v="8"/>
    <x v="1"/>
  </r>
  <r>
    <x v="95"/>
    <n v="100000"/>
    <x v="1"/>
    <n v="3617.19"/>
    <x v="1"/>
    <x v="3"/>
    <x v="6"/>
  </r>
  <r>
    <x v="269"/>
    <n v="80000"/>
    <x v="1"/>
    <n v="5018.91"/>
    <x v="1"/>
    <x v="7"/>
    <x v="3"/>
  </r>
  <r>
    <x v="29"/>
    <n v="30000"/>
    <x v="0"/>
    <n v="4935.91"/>
    <x v="1"/>
    <x v="3"/>
    <x v="7"/>
  </r>
  <r>
    <x v="40"/>
    <n v="30000"/>
    <x v="0"/>
    <n v="1165.1099999999999"/>
    <x v="0"/>
    <x v="8"/>
    <x v="9"/>
  </r>
  <r>
    <x v="12"/>
    <n v="70000"/>
    <x v="1"/>
    <n v="1506.44"/>
    <x v="0"/>
    <x v="6"/>
    <x v="7"/>
  </r>
  <r>
    <x v="74"/>
    <n v="40000"/>
    <x v="0"/>
    <n v="7056.54"/>
    <x v="1"/>
    <x v="3"/>
    <x v="0"/>
  </r>
  <r>
    <x v="229"/>
    <n v="30000"/>
    <x v="0"/>
    <n v="8292.7199999999993"/>
    <x v="1"/>
    <x v="4"/>
    <x v="0"/>
  </r>
  <r>
    <x v="270"/>
    <n v="90000"/>
    <x v="1"/>
    <n v="2995.34"/>
    <x v="0"/>
    <x v="6"/>
    <x v="7"/>
  </r>
  <r>
    <x v="271"/>
    <n v="20000"/>
    <x v="1"/>
    <n v="3668.08"/>
    <x v="0"/>
    <x v="6"/>
    <x v="3"/>
  </r>
  <r>
    <x v="113"/>
    <n v="70000"/>
    <x v="1"/>
    <n v="5480.44"/>
    <x v="1"/>
    <x v="3"/>
    <x v="8"/>
  </r>
  <r>
    <x v="208"/>
    <n v="70000"/>
    <x v="1"/>
    <n v="8833.1"/>
    <x v="0"/>
    <x v="0"/>
    <x v="2"/>
  </r>
  <r>
    <x v="200"/>
    <n v="30000"/>
    <x v="0"/>
    <n v="8744.8799999999992"/>
    <x v="1"/>
    <x v="9"/>
    <x v="0"/>
  </r>
  <r>
    <x v="212"/>
    <n v="40000"/>
    <x v="0"/>
    <n v="479.75"/>
    <x v="1"/>
    <x v="3"/>
    <x v="10"/>
  </r>
  <r>
    <x v="153"/>
    <n v="90000"/>
    <x v="1"/>
    <n v="2074.77"/>
    <x v="1"/>
    <x v="7"/>
    <x v="1"/>
  </r>
  <r>
    <x v="25"/>
    <n v="40000"/>
    <x v="0"/>
    <n v="8158"/>
    <x v="0"/>
    <x v="2"/>
    <x v="8"/>
  </r>
  <r>
    <x v="22"/>
    <n v="40000"/>
    <x v="0"/>
    <n v="1397.82"/>
    <x v="1"/>
    <x v="9"/>
    <x v="7"/>
  </r>
  <r>
    <x v="272"/>
    <n v="10000"/>
    <x v="0"/>
    <n v="3378.71"/>
    <x v="0"/>
    <x v="2"/>
    <x v="4"/>
  </r>
  <r>
    <x v="225"/>
    <n v="30000"/>
    <x v="0"/>
    <n v="3271.94"/>
    <x v="1"/>
    <x v="7"/>
    <x v="5"/>
  </r>
  <r>
    <x v="205"/>
    <n v="30000"/>
    <x v="0"/>
    <n v="5205.1899999999996"/>
    <x v="1"/>
    <x v="9"/>
    <x v="11"/>
  </r>
  <r>
    <x v="9"/>
    <n v="90000"/>
    <x v="0"/>
    <n v="1522.71"/>
    <x v="1"/>
    <x v="9"/>
    <x v="6"/>
  </r>
  <r>
    <x v="171"/>
    <n v="40000"/>
    <x v="0"/>
    <n v="1233.55"/>
    <x v="1"/>
    <x v="9"/>
    <x v="9"/>
  </r>
  <r>
    <x v="255"/>
    <n v="10000"/>
    <x v="0"/>
    <n v="724.86"/>
    <x v="1"/>
    <x v="9"/>
    <x v="4"/>
  </r>
  <r>
    <x v="229"/>
    <n v="20000"/>
    <x v="0"/>
    <n v="6456.67"/>
    <x v="0"/>
    <x v="6"/>
    <x v="0"/>
  </r>
  <r>
    <x v="100"/>
    <n v="60000"/>
    <x v="2"/>
    <n v="7781.9"/>
    <x v="1"/>
    <x v="7"/>
    <x v="5"/>
  </r>
  <r>
    <x v="273"/>
    <n v="70000"/>
    <x v="2"/>
    <n v="4367.95"/>
    <x v="1"/>
    <x v="4"/>
    <x v="1"/>
  </r>
  <r>
    <x v="274"/>
    <n v="40000"/>
    <x v="2"/>
    <n v="4510.54"/>
    <x v="1"/>
    <x v="4"/>
    <x v="11"/>
  </r>
  <r>
    <x v="158"/>
    <n v="70000"/>
    <x v="2"/>
    <n v="5440.84"/>
    <x v="0"/>
    <x v="1"/>
    <x v="1"/>
  </r>
  <r>
    <x v="275"/>
    <n v="70000"/>
    <x v="2"/>
    <n v="2455.11"/>
    <x v="0"/>
    <x v="0"/>
    <x v="0"/>
  </r>
  <r>
    <x v="25"/>
    <n v="60000"/>
    <x v="2"/>
    <n v="5040.1499999999996"/>
    <x v="0"/>
    <x v="8"/>
    <x v="8"/>
  </r>
  <r>
    <x v="87"/>
    <n v="60000"/>
    <x v="2"/>
    <n v="836.19"/>
    <x v="0"/>
    <x v="0"/>
    <x v="5"/>
  </r>
  <r>
    <x v="264"/>
    <n v="70000"/>
    <x v="2"/>
    <n v="1488.1"/>
    <x v="0"/>
    <x v="0"/>
    <x v="5"/>
  </r>
  <r>
    <x v="3"/>
    <n v="80000"/>
    <x v="2"/>
    <n v="5995.31"/>
    <x v="0"/>
    <x v="0"/>
    <x v="2"/>
  </r>
  <r>
    <x v="276"/>
    <n v="40000"/>
    <x v="2"/>
    <n v="1913.74"/>
    <x v="0"/>
    <x v="8"/>
    <x v="3"/>
  </r>
  <r>
    <x v="13"/>
    <n v="60000"/>
    <x v="2"/>
    <n v="6623.49"/>
    <x v="1"/>
    <x v="5"/>
    <x v="5"/>
  </r>
  <r>
    <x v="7"/>
    <n v="50000"/>
    <x v="2"/>
    <n v="417.3"/>
    <x v="0"/>
    <x v="6"/>
    <x v="1"/>
  </r>
  <r>
    <x v="46"/>
    <n v="40000"/>
    <x v="2"/>
    <n v="8528.8700000000008"/>
    <x v="0"/>
    <x v="1"/>
    <x v="11"/>
  </r>
  <r>
    <x v="130"/>
    <n v="130000"/>
    <x v="2"/>
    <n v="9298"/>
    <x v="0"/>
    <x v="1"/>
    <x v="6"/>
  </r>
  <r>
    <x v="277"/>
    <n v="70000"/>
    <x v="2"/>
    <n v="3405.87"/>
    <x v="0"/>
    <x v="6"/>
    <x v="3"/>
  </r>
  <r>
    <x v="211"/>
    <n v="100000"/>
    <x v="2"/>
    <n v="2496.5500000000002"/>
    <x v="0"/>
    <x v="1"/>
    <x v="5"/>
  </r>
  <r>
    <x v="278"/>
    <n v="70000"/>
    <x v="2"/>
    <n v="6943.9"/>
    <x v="1"/>
    <x v="4"/>
    <x v="5"/>
  </r>
  <r>
    <x v="275"/>
    <n v="40000"/>
    <x v="2"/>
    <n v="8739.6200000000008"/>
    <x v="1"/>
    <x v="3"/>
    <x v="0"/>
  </r>
  <r>
    <x v="40"/>
    <n v="60000"/>
    <x v="2"/>
    <n v="6259.77"/>
    <x v="1"/>
    <x v="5"/>
    <x v="9"/>
  </r>
  <r>
    <x v="241"/>
    <n v="80000"/>
    <x v="2"/>
    <n v="7242.16"/>
    <x v="1"/>
    <x v="9"/>
    <x v="6"/>
  </r>
  <r>
    <x v="183"/>
    <n v="70000"/>
    <x v="2"/>
    <n v="9544.58"/>
    <x v="1"/>
    <x v="9"/>
    <x v="10"/>
  </r>
  <r>
    <x v="279"/>
    <n v="80000"/>
    <x v="2"/>
    <n v="2721.82"/>
    <x v="1"/>
    <x v="3"/>
    <x v="1"/>
  </r>
  <r>
    <x v="166"/>
    <n v="60000"/>
    <x v="2"/>
    <n v="770.56"/>
    <x v="1"/>
    <x v="3"/>
    <x v="9"/>
  </r>
  <r>
    <x v="40"/>
    <n v="60000"/>
    <x v="2"/>
    <n v="7768.28"/>
    <x v="0"/>
    <x v="2"/>
    <x v="9"/>
  </r>
  <r>
    <x v="52"/>
    <n v="40000"/>
    <x v="2"/>
    <n v="9969.18"/>
    <x v="1"/>
    <x v="5"/>
    <x v="11"/>
  </r>
  <r>
    <x v="280"/>
    <n v="70000"/>
    <x v="2"/>
    <n v="3430.57"/>
    <x v="0"/>
    <x v="1"/>
    <x v="1"/>
  </r>
  <r>
    <x v="274"/>
    <n v="60000"/>
    <x v="2"/>
    <n v="9482.5499999999993"/>
    <x v="1"/>
    <x v="7"/>
    <x v="11"/>
  </r>
  <r>
    <x v="116"/>
    <n v="60000"/>
    <x v="2"/>
    <n v="5391.66"/>
    <x v="0"/>
    <x v="1"/>
    <x v="4"/>
  </r>
  <r>
    <x v="198"/>
    <n v="80000"/>
    <x v="2"/>
    <n v="9745.07"/>
    <x v="0"/>
    <x v="0"/>
    <x v="7"/>
  </r>
  <r>
    <x v="169"/>
    <n v="80000"/>
    <x v="2"/>
    <n v="3712.5"/>
    <x v="0"/>
    <x v="8"/>
    <x v="9"/>
  </r>
  <r>
    <x v="182"/>
    <n v="100000"/>
    <x v="2"/>
    <n v="1536.04"/>
    <x v="0"/>
    <x v="8"/>
    <x v="6"/>
  </r>
  <r>
    <x v="176"/>
    <n v="40000"/>
    <x v="2"/>
    <n v="5195.47"/>
    <x v="1"/>
    <x v="7"/>
    <x v="2"/>
  </r>
  <r>
    <x v="138"/>
    <n v="60000"/>
    <x v="2"/>
    <n v="3385.46"/>
    <x v="0"/>
    <x v="6"/>
    <x v="11"/>
  </r>
  <r>
    <x v="153"/>
    <n v="80000"/>
    <x v="2"/>
    <n v="942.14"/>
    <x v="1"/>
    <x v="5"/>
    <x v="1"/>
  </r>
  <r>
    <x v="179"/>
    <n v="80000"/>
    <x v="2"/>
    <n v="8409.02"/>
    <x v="1"/>
    <x v="4"/>
    <x v="8"/>
  </r>
  <r>
    <x v="39"/>
    <n v="60000"/>
    <x v="2"/>
    <n v="2414.42"/>
    <x v="1"/>
    <x v="9"/>
    <x v="10"/>
  </r>
  <r>
    <x v="11"/>
    <n v="110000"/>
    <x v="2"/>
    <n v="179.56"/>
    <x v="1"/>
    <x v="3"/>
    <x v="4"/>
  </r>
  <r>
    <x v="150"/>
    <n v="50000"/>
    <x v="2"/>
    <n v="9021.15"/>
    <x v="1"/>
    <x v="5"/>
    <x v="10"/>
  </r>
  <r>
    <x v="239"/>
    <n v="30000"/>
    <x v="2"/>
    <n v="6275.93"/>
    <x v="1"/>
    <x v="3"/>
    <x v="0"/>
  </r>
  <r>
    <x v="147"/>
    <n v="60000"/>
    <x v="2"/>
    <n v="4715.82"/>
    <x v="0"/>
    <x v="0"/>
    <x v="3"/>
  </r>
  <r>
    <x v="261"/>
    <n v="60000"/>
    <x v="2"/>
    <n v="1506.25"/>
    <x v="0"/>
    <x v="8"/>
    <x v="4"/>
  </r>
  <r>
    <x v="118"/>
    <n v="30000"/>
    <x v="2"/>
    <n v="9150.08"/>
    <x v="1"/>
    <x v="3"/>
    <x v="3"/>
  </r>
  <r>
    <x v="67"/>
    <n v="60000"/>
    <x v="2"/>
    <n v="3549.37"/>
    <x v="0"/>
    <x v="1"/>
    <x v="9"/>
  </r>
  <r>
    <x v="3"/>
    <n v="60000"/>
    <x v="2"/>
    <n v="8852.1299999999992"/>
    <x v="0"/>
    <x v="8"/>
    <x v="2"/>
  </r>
  <r>
    <x v="191"/>
    <n v="40000"/>
    <x v="2"/>
    <n v="5764.07"/>
    <x v="1"/>
    <x v="3"/>
    <x v="7"/>
  </r>
  <r>
    <x v="153"/>
    <n v="50000"/>
    <x v="2"/>
    <n v="4668.2700000000004"/>
    <x v="1"/>
    <x v="9"/>
    <x v="1"/>
  </r>
  <r>
    <x v="129"/>
    <n v="80000"/>
    <x v="2"/>
    <n v="9232.19"/>
    <x v="0"/>
    <x v="6"/>
    <x v="4"/>
  </r>
  <r>
    <x v="221"/>
    <n v="40000"/>
    <x v="2"/>
    <n v="2082.06"/>
    <x v="1"/>
    <x v="4"/>
    <x v="1"/>
  </r>
  <r>
    <x v="224"/>
    <n v="80000"/>
    <x v="2"/>
    <n v="2733.34"/>
    <x v="0"/>
    <x v="0"/>
    <x v="9"/>
  </r>
  <r>
    <x v="281"/>
    <n v="70000"/>
    <x v="2"/>
    <n v="8376.31"/>
    <x v="1"/>
    <x v="3"/>
    <x v="9"/>
  </r>
  <r>
    <x v="200"/>
    <n v="70000"/>
    <x v="2"/>
    <n v="1038.43"/>
    <x v="0"/>
    <x v="0"/>
    <x v="0"/>
  </r>
  <r>
    <x v="48"/>
    <n v="50000"/>
    <x v="2"/>
    <n v="2265.71"/>
    <x v="1"/>
    <x v="3"/>
    <x v="10"/>
  </r>
  <r>
    <x v="282"/>
    <n v="40000"/>
    <x v="2"/>
    <n v="6996.68"/>
    <x v="1"/>
    <x v="4"/>
    <x v="9"/>
  </r>
  <r>
    <x v="138"/>
    <n v="70000"/>
    <x v="2"/>
    <n v="1016.84"/>
    <x v="0"/>
    <x v="0"/>
    <x v="11"/>
  </r>
  <r>
    <x v="99"/>
    <n v="120000"/>
    <x v="2"/>
    <n v="6152.18"/>
    <x v="0"/>
    <x v="8"/>
    <x v="11"/>
  </r>
  <r>
    <x v="106"/>
    <n v="60000"/>
    <x v="2"/>
    <n v="8823.7800000000007"/>
    <x v="0"/>
    <x v="6"/>
    <x v="11"/>
  </r>
  <r>
    <x v="256"/>
    <n v="60000"/>
    <x v="2"/>
    <n v="5146.6400000000003"/>
    <x v="0"/>
    <x v="2"/>
    <x v="0"/>
  </r>
  <r>
    <x v="114"/>
    <n v="60000"/>
    <x v="2"/>
    <n v="4565.74"/>
    <x v="1"/>
    <x v="4"/>
    <x v="2"/>
  </r>
  <r>
    <x v="235"/>
    <n v="80000"/>
    <x v="2"/>
    <n v="3446.9"/>
    <x v="0"/>
    <x v="6"/>
    <x v="2"/>
  </r>
  <r>
    <x v="259"/>
    <n v="130000"/>
    <x v="2"/>
    <n v="3381.97"/>
    <x v="0"/>
    <x v="6"/>
    <x v="2"/>
  </r>
  <r>
    <x v="132"/>
    <n v="70000"/>
    <x v="1"/>
    <n v="1321.86"/>
    <x v="0"/>
    <x v="0"/>
    <x v="10"/>
  </r>
  <r>
    <x v="58"/>
    <n v="50000"/>
    <x v="2"/>
    <n v="907.81"/>
    <x v="0"/>
    <x v="1"/>
    <x v="8"/>
  </r>
  <r>
    <x v="143"/>
    <n v="60000"/>
    <x v="2"/>
    <n v="5231.68"/>
    <x v="0"/>
    <x v="6"/>
    <x v="8"/>
  </r>
  <r>
    <x v="63"/>
    <n v="40000"/>
    <x v="2"/>
    <n v="7470.31"/>
    <x v="0"/>
    <x v="8"/>
    <x v="8"/>
  </r>
  <r>
    <x v="207"/>
    <n v="60000"/>
    <x v="2"/>
    <n v="632.99"/>
    <x v="0"/>
    <x v="6"/>
    <x v="6"/>
  </r>
  <r>
    <x v="152"/>
    <n v="50000"/>
    <x v="2"/>
    <n v="4990.3100000000004"/>
    <x v="0"/>
    <x v="2"/>
    <x v="5"/>
  </r>
  <r>
    <x v="249"/>
    <n v="80000"/>
    <x v="2"/>
    <n v="679.71"/>
    <x v="0"/>
    <x v="8"/>
    <x v="6"/>
  </r>
  <r>
    <x v="7"/>
    <n v="40000"/>
    <x v="2"/>
    <n v="2211.38"/>
    <x v="1"/>
    <x v="3"/>
    <x v="1"/>
  </r>
  <r>
    <x v="133"/>
    <n v="50000"/>
    <x v="2"/>
    <n v="5414.7"/>
    <x v="1"/>
    <x v="9"/>
    <x v="2"/>
  </r>
  <r>
    <x v="283"/>
    <n v="60000"/>
    <x v="2"/>
    <n v="6508.61"/>
    <x v="0"/>
    <x v="2"/>
    <x v="7"/>
  </r>
  <r>
    <x v="177"/>
    <n v="60000"/>
    <x v="2"/>
    <n v="7755.64"/>
    <x v="0"/>
    <x v="8"/>
    <x v="1"/>
  </r>
  <r>
    <x v="35"/>
    <n v="20000"/>
    <x v="2"/>
    <n v="2839.16"/>
    <x v="1"/>
    <x v="3"/>
    <x v="1"/>
  </r>
  <r>
    <x v="284"/>
    <n v="70000"/>
    <x v="2"/>
    <n v="7963.6"/>
    <x v="0"/>
    <x v="0"/>
    <x v="11"/>
  </r>
  <r>
    <x v="58"/>
    <n v="30000"/>
    <x v="2"/>
    <n v="1316.04"/>
    <x v="0"/>
    <x v="6"/>
    <x v="8"/>
  </r>
  <r>
    <x v="157"/>
    <n v="30000"/>
    <x v="2"/>
    <n v="4437.78"/>
    <x v="0"/>
    <x v="8"/>
    <x v="9"/>
  </r>
  <r>
    <x v="285"/>
    <n v="40000"/>
    <x v="2"/>
    <n v="7437.41"/>
    <x v="0"/>
    <x v="1"/>
    <x v="2"/>
  </r>
  <r>
    <x v="171"/>
    <n v="60000"/>
    <x v="2"/>
    <n v="1428.52"/>
    <x v="0"/>
    <x v="1"/>
    <x v="9"/>
  </r>
  <r>
    <x v="32"/>
    <n v="40000"/>
    <x v="2"/>
    <n v="4096.97"/>
    <x v="1"/>
    <x v="3"/>
    <x v="9"/>
  </r>
  <r>
    <x v="237"/>
    <n v="70000"/>
    <x v="2"/>
    <n v="7506.39"/>
    <x v="0"/>
    <x v="6"/>
    <x v="0"/>
  </r>
  <r>
    <x v="220"/>
    <n v="50000"/>
    <x v="2"/>
    <n v="6230.18"/>
    <x v="0"/>
    <x v="0"/>
    <x v="3"/>
  </r>
  <r>
    <x v="154"/>
    <n v="70000"/>
    <x v="2"/>
    <n v="9393.3700000000008"/>
    <x v="0"/>
    <x v="2"/>
    <x v="1"/>
  </r>
  <r>
    <x v="46"/>
    <n v="40000"/>
    <x v="2"/>
    <n v="1842.88"/>
    <x v="0"/>
    <x v="1"/>
    <x v="11"/>
  </r>
  <r>
    <x v="222"/>
    <n v="30000"/>
    <x v="2"/>
    <n v="2591.3000000000002"/>
    <x v="0"/>
    <x v="8"/>
    <x v="2"/>
  </r>
  <r>
    <x v="247"/>
    <n v="60000"/>
    <x v="2"/>
    <n v="7522.86"/>
    <x v="1"/>
    <x v="7"/>
    <x v="2"/>
  </r>
  <r>
    <x v="24"/>
    <n v="80000"/>
    <x v="2"/>
    <n v="9858.7999999999993"/>
    <x v="0"/>
    <x v="2"/>
    <x v="6"/>
  </r>
  <r>
    <x v="223"/>
    <n v="60000"/>
    <x v="2"/>
    <n v="841.17"/>
    <x v="0"/>
    <x v="2"/>
    <x v="11"/>
  </r>
  <r>
    <x v="178"/>
    <n v="40000"/>
    <x v="2"/>
    <n v="3156.13"/>
    <x v="0"/>
    <x v="6"/>
    <x v="7"/>
  </r>
  <r>
    <x v="155"/>
    <n v="120000"/>
    <x v="2"/>
    <n v="9439.91"/>
    <x v="0"/>
    <x v="2"/>
    <x v="1"/>
  </r>
  <r>
    <x v="133"/>
    <n v="60000"/>
    <x v="2"/>
    <n v="3185.22"/>
    <x v="0"/>
    <x v="0"/>
    <x v="2"/>
  </r>
  <r>
    <x v="223"/>
    <n v="40000"/>
    <x v="2"/>
    <n v="9337.0400000000009"/>
    <x v="1"/>
    <x v="7"/>
    <x v="11"/>
  </r>
  <r>
    <x v="235"/>
    <n v="60000"/>
    <x v="2"/>
    <n v="3619.92"/>
    <x v="0"/>
    <x v="8"/>
    <x v="2"/>
  </r>
  <r>
    <x v="220"/>
    <n v="40000"/>
    <x v="2"/>
    <n v="7641.89"/>
    <x v="1"/>
    <x v="7"/>
    <x v="3"/>
  </r>
  <r>
    <x v="186"/>
    <n v="80000"/>
    <x v="2"/>
    <n v="3244.2"/>
    <x v="1"/>
    <x v="3"/>
    <x v="5"/>
  </r>
  <r>
    <x v="109"/>
    <n v="60000"/>
    <x v="2"/>
    <n v="7327.39"/>
    <x v="0"/>
    <x v="8"/>
    <x v="6"/>
  </r>
  <r>
    <x v="286"/>
    <n v="70000"/>
    <x v="2"/>
    <n v="7792.7"/>
    <x v="1"/>
    <x v="7"/>
    <x v="9"/>
  </r>
  <r>
    <x v="39"/>
    <n v="120000"/>
    <x v="2"/>
    <n v="1065.3699999999999"/>
    <x v="0"/>
    <x v="8"/>
    <x v="10"/>
  </r>
  <r>
    <x v="232"/>
    <n v="60000"/>
    <x v="2"/>
    <n v="9268.77"/>
    <x v="0"/>
    <x v="2"/>
    <x v="10"/>
  </r>
  <r>
    <x v="106"/>
    <n v="130000"/>
    <x v="2"/>
    <n v="6383.94"/>
    <x v="1"/>
    <x v="3"/>
    <x v="11"/>
  </r>
  <r>
    <x v="208"/>
    <n v="90000"/>
    <x v="2"/>
    <n v="2222.94"/>
    <x v="0"/>
    <x v="2"/>
    <x v="2"/>
  </r>
  <r>
    <x v="126"/>
    <n v="60000"/>
    <x v="2"/>
    <n v="7715.72"/>
    <x v="0"/>
    <x v="6"/>
    <x v="8"/>
  </r>
  <r>
    <x v="14"/>
    <n v="60000"/>
    <x v="2"/>
    <n v="2675.95"/>
    <x v="0"/>
    <x v="0"/>
    <x v="8"/>
  </r>
  <r>
    <x v="207"/>
    <n v="40000"/>
    <x v="2"/>
    <n v="5487.38"/>
    <x v="1"/>
    <x v="4"/>
    <x v="6"/>
  </r>
  <r>
    <x v="160"/>
    <n v="80000"/>
    <x v="2"/>
    <n v="5106.37"/>
    <x v="1"/>
    <x v="9"/>
    <x v="7"/>
  </r>
  <r>
    <x v="287"/>
    <n v="70000"/>
    <x v="2"/>
    <n v="7867.89"/>
    <x v="1"/>
    <x v="5"/>
    <x v="5"/>
  </r>
  <r>
    <x v="113"/>
    <n v="80000"/>
    <x v="2"/>
    <n v="5151.3900000000003"/>
    <x v="1"/>
    <x v="5"/>
    <x v="8"/>
  </r>
  <r>
    <x v="288"/>
    <n v="20000"/>
    <x v="2"/>
    <n v="3933.72"/>
    <x v="1"/>
    <x v="3"/>
    <x v="0"/>
  </r>
  <r>
    <x v="64"/>
    <n v="90000"/>
    <x v="2"/>
    <n v="6246.19"/>
    <x v="1"/>
    <x v="4"/>
    <x v="8"/>
  </r>
  <r>
    <x v="12"/>
    <n v="40000"/>
    <x v="2"/>
    <n v="9775.74"/>
    <x v="0"/>
    <x v="1"/>
    <x v="7"/>
  </r>
  <r>
    <x v="253"/>
    <n v="130000"/>
    <x v="2"/>
    <n v="3998.09"/>
    <x v="1"/>
    <x v="3"/>
    <x v="11"/>
  </r>
  <r>
    <x v="207"/>
    <n v="60000"/>
    <x v="2"/>
    <n v="325.22000000000003"/>
    <x v="0"/>
    <x v="0"/>
    <x v="6"/>
  </r>
  <r>
    <x v="73"/>
    <n v="30000"/>
    <x v="2"/>
    <n v="171.12"/>
    <x v="1"/>
    <x v="5"/>
    <x v="7"/>
  </r>
  <r>
    <x v="96"/>
    <n v="80000"/>
    <x v="2"/>
    <n v="7738.81"/>
    <x v="1"/>
    <x v="7"/>
    <x v="0"/>
  </r>
  <r>
    <x v="289"/>
    <n v="60000"/>
    <x v="2"/>
    <n v="6645.62"/>
    <x v="0"/>
    <x v="0"/>
    <x v="5"/>
  </r>
  <r>
    <x v="18"/>
    <n v="60000"/>
    <x v="2"/>
    <n v="297.45999999999998"/>
    <x v="0"/>
    <x v="1"/>
    <x v="1"/>
  </r>
  <r>
    <x v="157"/>
    <n v="40000"/>
    <x v="2"/>
    <n v="6318.35"/>
    <x v="1"/>
    <x v="9"/>
    <x v="9"/>
  </r>
  <r>
    <x v="235"/>
    <n v="70000"/>
    <x v="2"/>
    <n v="9373.14"/>
    <x v="0"/>
    <x v="1"/>
    <x v="2"/>
  </r>
  <r>
    <x v="256"/>
    <n v="40000"/>
    <x v="2"/>
    <n v="8355.0499999999993"/>
    <x v="1"/>
    <x v="9"/>
    <x v="0"/>
  </r>
  <r>
    <x v="151"/>
    <n v="70000"/>
    <x v="2"/>
    <n v="9938.58"/>
    <x v="1"/>
    <x v="5"/>
    <x v="3"/>
  </r>
  <r>
    <x v="171"/>
    <n v="60000"/>
    <x v="2"/>
    <n v="4435.04"/>
    <x v="1"/>
    <x v="5"/>
    <x v="9"/>
  </r>
  <r>
    <x v="290"/>
    <n v="70000"/>
    <x v="2"/>
    <n v="2566.37"/>
    <x v="1"/>
    <x v="5"/>
    <x v="3"/>
  </r>
  <r>
    <x v="291"/>
    <n v="60000"/>
    <x v="2"/>
    <n v="5842.19"/>
    <x v="0"/>
    <x v="1"/>
    <x v="3"/>
  </r>
  <r>
    <x v="132"/>
    <n v="80000"/>
    <x v="2"/>
    <n v="7603.43"/>
    <x v="0"/>
    <x v="0"/>
    <x v="10"/>
  </r>
  <r>
    <x v="292"/>
    <n v="30000"/>
    <x v="2"/>
    <n v="3463.69"/>
    <x v="0"/>
    <x v="1"/>
    <x v="8"/>
  </r>
  <r>
    <x v="293"/>
    <n v="110000"/>
    <x v="2"/>
    <n v="3538.3"/>
    <x v="1"/>
    <x v="9"/>
    <x v="4"/>
  </r>
  <r>
    <x v="294"/>
    <n v="100000"/>
    <x v="2"/>
    <n v="8739.49"/>
    <x v="1"/>
    <x v="4"/>
    <x v="10"/>
  </r>
  <r>
    <x v="43"/>
    <n v="60000"/>
    <x v="2"/>
    <n v="5077.3599999999997"/>
    <x v="0"/>
    <x v="6"/>
    <x v="0"/>
  </r>
  <r>
    <x v="169"/>
    <n v="80000"/>
    <x v="2"/>
    <n v="1429.83"/>
    <x v="1"/>
    <x v="3"/>
    <x v="9"/>
  </r>
  <r>
    <x v="115"/>
    <n v="40000"/>
    <x v="2"/>
    <n v="3909.99"/>
    <x v="1"/>
    <x v="9"/>
    <x v="10"/>
  </r>
  <r>
    <x v="245"/>
    <n v="20000"/>
    <x v="2"/>
    <n v="5905.59"/>
    <x v="1"/>
    <x v="3"/>
    <x v="0"/>
  </r>
  <r>
    <x v="95"/>
    <n v="40000"/>
    <x v="2"/>
    <n v="6182.57"/>
    <x v="1"/>
    <x v="5"/>
    <x v="6"/>
  </r>
  <r>
    <x v="295"/>
    <n v="100000"/>
    <x v="2"/>
    <n v="4215.58"/>
    <x v="1"/>
    <x v="4"/>
    <x v="4"/>
  </r>
  <r>
    <x v="170"/>
    <n v="70000"/>
    <x v="2"/>
    <n v="7452.36"/>
    <x v="1"/>
    <x v="7"/>
    <x v="8"/>
  </r>
  <r>
    <x v="195"/>
    <n v="60000"/>
    <x v="2"/>
    <n v="6793.02"/>
    <x v="1"/>
    <x v="4"/>
    <x v="7"/>
  </r>
  <r>
    <x v="222"/>
    <n v="70000"/>
    <x v="2"/>
    <n v="5398.64"/>
    <x v="1"/>
    <x v="3"/>
    <x v="2"/>
  </r>
  <r>
    <x v="10"/>
    <n v="70000"/>
    <x v="2"/>
    <n v="738.48"/>
    <x v="0"/>
    <x v="2"/>
    <x v="1"/>
  </r>
  <r>
    <x v="81"/>
    <n v="60000"/>
    <x v="2"/>
    <n v="7072.02"/>
    <x v="1"/>
    <x v="4"/>
    <x v="8"/>
  </r>
  <r>
    <x v="89"/>
    <n v="60000"/>
    <x v="2"/>
    <n v="4292.3500000000004"/>
    <x v="1"/>
    <x v="5"/>
    <x v="8"/>
  </r>
  <r>
    <x v="85"/>
    <n v="60000"/>
    <x v="2"/>
    <n v="3581.92"/>
    <x v="1"/>
    <x v="5"/>
    <x v="6"/>
  </r>
  <r>
    <x v="12"/>
    <n v="80000"/>
    <x v="2"/>
    <n v="9915.7999999999993"/>
    <x v="0"/>
    <x v="8"/>
    <x v="7"/>
  </r>
  <r>
    <x v="296"/>
    <n v="50000"/>
    <x v="2"/>
    <n v="5905.49"/>
    <x v="1"/>
    <x v="3"/>
    <x v="4"/>
  </r>
  <r>
    <x v="190"/>
    <n v="40000"/>
    <x v="2"/>
    <n v="2419.14"/>
    <x v="1"/>
    <x v="7"/>
    <x v="10"/>
  </r>
  <r>
    <x v="54"/>
    <n v="70000"/>
    <x v="2"/>
    <n v="4674.28"/>
    <x v="0"/>
    <x v="8"/>
    <x v="3"/>
  </r>
  <r>
    <x v="280"/>
    <n v="80000"/>
    <x v="2"/>
    <n v="3908.1"/>
    <x v="1"/>
    <x v="9"/>
    <x v="1"/>
  </r>
  <r>
    <x v="64"/>
    <n v="130000"/>
    <x v="2"/>
    <n v="653.73"/>
    <x v="0"/>
    <x v="8"/>
    <x v="8"/>
  </r>
  <r>
    <x v="251"/>
    <n v="60000"/>
    <x v="2"/>
    <n v="8901.8700000000008"/>
    <x v="1"/>
    <x v="4"/>
    <x v="0"/>
  </r>
  <r>
    <x v="237"/>
    <n v="30000"/>
    <x v="2"/>
    <n v="6632.57"/>
    <x v="0"/>
    <x v="1"/>
    <x v="0"/>
  </r>
  <r>
    <x v="8"/>
    <n v="120000"/>
    <x v="2"/>
    <n v="1968.67"/>
    <x v="1"/>
    <x v="4"/>
    <x v="5"/>
  </r>
  <r>
    <x v="199"/>
    <n v="40000"/>
    <x v="2"/>
    <n v="1758.34"/>
    <x v="1"/>
    <x v="5"/>
    <x v="10"/>
  </r>
  <r>
    <x v="233"/>
    <n v="70000"/>
    <x v="2"/>
    <n v="1169.42"/>
    <x v="1"/>
    <x v="5"/>
    <x v="3"/>
  </r>
  <r>
    <x v="297"/>
    <n v="100000"/>
    <x v="2"/>
    <n v="5697.88"/>
    <x v="0"/>
    <x v="6"/>
    <x v="6"/>
  </r>
  <r>
    <x v="112"/>
    <n v="60000"/>
    <x v="2"/>
    <n v="8988.73"/>
    <x v="0"/>
    <x v="2"/>
    <x v="7"/>
  </r>
  <r>
    <x v="225"/>
    <n v="50000"/>
    <x v="2"/>
    <n v="282.95"/>
    <x v="1"/>
    <x v="5"/>
    <x v="5"/>
  </r>
  <r>
    <x v="74"/>
    <n v="70000"/>
    <x v="2"/>
    <n v="7345.81"/>
    <x v="1"/>
    <x v="9"/>
    <x v="0"/>
  </r>
  <r>
    <x v="37"/>
    <n v="70000"/>
    <x v="2"/>
    <n v="898.51"/>
    <x v="1"/>
    <x v="4"/>
    <x v="0"/>
  </r>
  <r>
    <x v="61"/>
    <n v="60000"/>
    <x v="2"/>
    <n v="1335.12"/>
    <x v="1"/>
    <x v="3"/>
    <x v="2"/>
  </r>
  <r>
    <x v="289"/>
    <n v="60000"/>
    <x v="2"/>
    <n v="9214.4699999999993"/>
    <x v="1"/>
    <x v="5"/>
    <x v="5"/>
  </r>
  <r>
    <x v="55"/>
    <n v="60000"/>
    <x v="2"/>
    <n v="3820.06"/>
    <x v="0"/>
    <x v="2"/>
    <x v="5"/>
  </r>
  <r>
    <x v="281"/>
    <n v="40000"/>
    <x v="2"/>
    <n v="2846.91"/>
    <x v="1"/>
    <x v="4"/>
    <x v="9"/>
  </r>
  <r>
    <x v="1"/>
    <n v="70000"/>
    <x v="2"/>
    <n v="1397.65"/>
    <x v="0"/>
    <x v="2"/>
    <x v="1"/>
  </r>
  <r>
    <x v="96"/>
    <n v="70000"/>
    <x v="2"/>
    <n v="7935.42"/>
    <x v="0"/>
    <x v="1"/>
    <x v="0"/>
  </r>
  <r>
    <x v="256"/>
    <n v="70000"/>
    <x v="2"/>
    <n v="2852.16"/>
    <x v="1"/>
    <x v="3"/>
    <x v="0"/>
  </r>
  <r>
    <x v="293"/>
    <n v="60000"/>
    <x v="2"/>
    <n v="6263.78"/>
    <x v="0"/>
    <x v="8"/>
    <x v="4"/>
  </r>
  <r>
    <x v="135"/>
    <n v="70000"/>
    <x v="2"/>
    <n v="7179.13"/>
    <x v="0"/>
    <x v="2"/>
    <x v="2"/>
  </r>
  <r>
    <x v="55"/>
    <n v="30000"/>
    <x v="2"/>
    <n v="2577.77"/>
    <x v="1"/>
    <x v="7"/>
    <x v="5"/>
  </r>
  <r>
    <x v="57"/>
    <n v="40000"/>
    <x v="2"/>
    <n v="9384.69"/>
    <x v="1"/>
    <x v="5"/>
    <x v="8"/>
  </r>
  <r>
    <x v="298"/>
    <n v="40000"/>
    <x v="2"/>
    <n v="2953.94"/>
    <x v="1"/>
    <x v="7"/>
    <x v="9"/>
  </r>
  <r>
    <x v="117"/>
    <n v="60000"/>
    <x v="2"/>
    <n v="1251.23"/>
    <x v="1"/>
    <x v="7"/>
    <x v="9"/>
  </r>
  <r>
    <x v="105"/>
    <n v="70000"/>
    <x v="2"/>
    <n v="4011.91"/>
    <x v="0"/>
    <x v="1"/>
    <x v="9"/>
  </r>
  <r>
    <x v="38"/>
    <n v="50000"/>
    <x v="2"/>
    <n v="3840.1"/>
    <x v="0"/>
    <x v="1"/>
    <x v="2"/>
  </r>
  <r>
    <x v="53"/>
    <n v="60000"/>
    <x v="2"/>
    <n v="5359.93"/>
    <x v="0"/>
    <x v="0"/>
    <x v="10"/>
  </r>
  <r>
    <x v="242"/>
    <n v="60000"/>
    <x v="2"/>
    <n v="9253.0300000000007"/>
    <x v="1"/>
    <x v="5"/>
    <x v="8"/>
  </r>
  <r>
    <x v="197"/>
    <n v="40000"/>
    <x v="2"/>
    <n v="6299.98"/>
    <x v="1"/>
    <x v="3"/>
    <x v="0"/>
  </r>
  <r>
    <x v="133"/>
    <n v="100000"/>
    <x v="2"/>
    <n v="8956.5499999999993"/>
    <x v="0"/>
    <x v="0"/>
    <x v="2"/>
  </r>
  <r>
    <x v="167"/>
    <n v="70000"/>
    <x v="2"/>
    <n v="825.77"/>
    <x v="0"/>
    <x v="8"/>
    <x v="1"/>
  </r>
  <r>
    <x v="217"/>
    <n v="80000"/>
    <x v="2"/>
    <n v="4518.07"/>
    <x v="0"/>
    <x v="2"/>
    <x v="9"/>
  </r>
  <r>
    <x v="164"/>
    <n v="130000"/>
    <x v="2"/>
    <n v="6589.39"/>
    <x v="1"/>
    <x v="7"/>
    <x v="6"/>
  </r>
  <r>
    <x v="261"/>
    <n v="60000"/>
    <x v="2"/>
    <n v="3509.5"/>
    <x v="0"/>
    <x v="8"/>
    <x v="4"/>
  </r>
  <r>
    <x v="299"/>
    <n v="40000"/>
    <x v="2"/>
    <n v="9129.77"/>
    <x v="0"/>
    <x v="0"/>
    <x v="8"/>
  </r>
  <r>
    <x v="45"/>
    <n v="60000"/>
    <x v="2"/>
    <n v="8343.4699999999993"/>
    <x v="0"/>
    <x v="0"/>
    <x v="9"/>
  </r>
  <r>
    <x v="112"/>
    <n v="60000"/>
    <x v="2"/>
    <n v="9317.33"/>
    <x v="1"/>
    <x v="7"/>
    <x v="7"/>
  </r>
  <r>
    <x v="208"/>
    <n v="70000"/>
    <x v="2"/>
    <n v="8772.93"/>
    <x v="0"/>
    <x v="8"/>
    <x v="2"/>
  </r>
  <r>
    <x v="151"/>
    <n v="60000"/>
    <x v="2"/>
    <n v="8124.59"/>
    <x v="1"/>
    <x v="3"/>
    <x v="3"/>
  </r>
  <r>
    <x v="4"/>
    <n v="40000"/>
    <x v="2"/>
    <n v="474.63"/>
    <x v="0"/>
    <x v="6"/>
    <x v="1"/>
  </r>
  <r>
    <x v="300"/>
    <n v="70000"/>
    <x v="2"/>
    <n v="5550.18"/>
    <x v="0"/>
    <x v="1"/>
    <x v="8"/>
  </r>
  <r>
    <x v="301"/>
    <n v="30000"/>
    <x v="2"/>
    <n v="2257.13"/>
    <x v="0"/>
    <x v="6"/>
    <x v="11"/>
  </r>
  <r>
    <x v="302"/>
    <n v="100000"/>
    <x v="2"/>
    <n v="3163.26"/>
    <x v="1"/>
    <x v="7"/>
    <x v="9"/>
  </r>
  <r>
    <x v="234"/>
    <n v="40000"/>
    <x v="2"/>
    <n v="192.92"/>
    <x v="1"/>
    <x v="7"/>
    <x v="0"/>
  </r>
  <r>
    <x v="208"/>
    <n v="60000"/>
    <x v="2"/>
    <n v="1155.46"/>
    <x v="0"/>
    <x v="1"/>
    <x v="2"/>
  </r>
  <r>
    <x v="144"/>
    <n v="80000"/>
    <x v="0"/>
    <n v="6186.49"/>
    <x v="1"/>
    <x v="5"/>
    <x v="3"/>
  </r>
  <r>
    <x v="303"/>
    <n v="60000"/>
    <x v="2"/>
    <n v="7103.23"/>
    <x v="0"/>
    <x v="0"/>
    <x v="11"/>
  </r>
  <r>
    <x v="174"/>
    <n v="60000"/>
    <x v="2"/>
    <n v="6053.83"/>
    <x v="0"/>
    <x v="0"/>
    <x v="10"/>
  </r>
  <r>
    <x v="206"/>
    <n v="80000"/>
    <x v="2"/>
    <n v="4537.0600000000004"/>
    <x v="0"/>
    <x v="0"/>
    <x v="7"/>
  </r>
  <r>
    <x v="159"/>
    <n v="20000"/>
    <x v="2"/>
    <n v="7471.53"/>
    <x v="0"/>
    <x v="8"/>
    <x v="5"/>
  </r>
  <r>
    <x v="59"/>
    <n v="90000"/>
    <x v="2"/>
    <n v="1204.6099999999999"/>
    <x v="1"/>
    <x v="9"/>
    <x v="5"/>
  </r>
  <r>
    <x v="14"/>
    <n v="60000"/>
    <x v="2"/>
    <n v="8150.95"/>
    <x v="1"/>
    <x v="3"/>
    <x v="8"/>
  </r>
  <r>
    <x v="205"/>
    <n v="60000"/>
    <x v="2"/>
    <n v="9671.52"/>
    <x v="1"/>
    <x v="4"/>
    <x v="11"/>
  </r>
  <r>
    <x v="58"/>
    <n v="40000"/>
    <x v="2"/>
    <n v="8323.14"/>
    <x v="0"/>
    <x v="0"/>
    <x v="8"/>
  </r>
  <r>
    <x v="304"/>
    <n v="30000"/>
    <x v="2"/>
    <n v="6561.23"/>
    <x v="0"/>
    <x v="6"/>
    <x v="4"/>
  </r>
  <r>
    <x v="69"/>
    <n v="60000"/>
    <x v="2"/>
    <n v="9530.18"/>
    <x v="0"/>
    <x v="0"/>
    <x v="1"/>
  </r>
  <r>
    <x v="175"/>
    <n v="30000"/>
    <x v="2"/>
    <n v="8413.5499999999993"/>
    <x v="0"/>
    <x v="8"/>
    <x v="7"/>
  </r>
  <r>
    <x v="305"/>
    <n v="130000"/>
    <x v="2"/>
    <n v="9888.8700000000008"/>
    <x v="1"/>
    <x v="7"/>
    <x v="4"/>
  </r>
  <r>
    <x v="306"/>
    <n v="50000"/>
    <x v="2"/>
    <n v="6815.11"/>
    <x v="1"/>
    <x v="9"/>
    <x v="7"/>
  </r>
  <r>
    <x v="141"/>
    <n v="70000"/>
    <x v="2"/>
    <n v="9343.69"/>
    <x v="0"/>
    <x v="8"/>
    <x v="0"/>
  </r>
  <r>
    <x v="185"/>
    <n v="60000"/>
    <x v="2"/>
    <n v="1570.57"/>
    <x v="0"/>
    <x v="1"/>
    <x v="7"/>
  </r>
  <r>
    <x v="194"/>
    <n v="80000"/>
    <x v="2"/>
    <n v="4718.59"/>
    <x v="0"/>
    <x v="2"/>
    <x v="7"/>
  </r>
  <r>
    <x v="104"/>
    <n v="80000"/>
    <x v="2"/>
    <n v="1176.54"/>
    <x v="0"/>
    <x v="2"/>
    <x v="5"/>
  </r>
  <r>
    <x v="292"/>
    <n v="60000"/>
    <x v="2"/>
    <n v="7887.94"/>
    <x v="1"/>
    <x v="3"/>
    <x v="8"/>
  </r>
  <r>
    <x v="25"/>
    <n v="30000"/>
    <x v="2"/>
    <n v="4827.55"/>
    <x v="0"/>
    <x v="6"/>
    <x v="8"/>
  </r>
  <r>
    <x v="232"/>
    <n v="20000"/>
    <x v="2"/>
    <n v="1020.98"/>
    <x v="1"/>
    <x v="9"/>
    <x v="10"/>
  </r>
  <r>
    <x v="306"/>
    <n v="90000"/>
    <x v="2"/>
    <n v="7192.38"/>
    <x v="0"/>
    <x v="8"/>
    <x v="7"/>
  </r>
  <r>
    <x v="112"/>
    <n v="70000"/>
    <x v="2"/>
    <n v="1663.65"/>
    <x v="1"/>
    <x v="9"/>
    <x v="7"/>
  </r>
  <r>
    <x v="79"/>
    <n v="30000"/>
    <x v="2"/>
    <n v="4675.08"/>
    <x v="1"/>
    <x v="4"/>
    <x v="2"/>
  </r>
  <r>
    <x v="306"/>
    <n v="120000"/>
    <x v="2"/>
    <n v="3546.84"/>
    <x v="0"/>
    <x v="0"/>
    <x v="7"/>
  </r>
  <r>
    <x v="170"/>
    <n v="50000"/>
    <x v="2"/>
    <n v="7326.36"/>
    <x v="0"/>
    <x v="0"/>
    <x v="8"/>
  </r>
  <r>
    <x v="270"/>
    <n v="40000"/>
    <x v="2"/>
    <n v="4037.66"/>
    <x v="1"/>
    <x v="9"/>
    <x v="7"/>
  </r>
  <r>
    <x v="303"/>
    <n v="70000"/>
    <x v="2"/>
    <n v="1825.48"/>
    <x v="0"/>
    <x v="2"/>
    <x v="11"/>
  </r>
  <r>
    <x v="271"/>
    <n v="60000"/>
    <x v="2"/>
    <n v="9451.5300000000007"/>
    <x v="1"/>
    <x v="9"/>
    <x v="3"/>
  </r>
  <r>
    <x v="246"/>
    <n v="70000"/>
    <x v="2"/>
    <n v="8781.9599999999991"/>
    <x v="0"/>
    <x v="2"/>
    <x v="11"/>
  </r>
  <r>
    <x v="84"/>
    <n v="70000"/>
    <x v="2"/>
    <n v="8939.4599999999991"/>
    <x v="0"/>
    <x v="6"/>
    <x v="3"/>
  </r>
  <r>
    <x v="114"/>
    <n v="70000"/>
    <x v="2"/>
    <n v="1293.97"/>
    <x v="0"/>
    <x v="6"/>
    <x v="2"/>
  </r>
  <r>
    <x v="307"/>
    <n v="60000"/>
    <x v="2"/>
    <n v="8051.67"/>
    <x v="0"/>
    <x v="6"/>
    <x v="4"/>
  </r>
  <r>
    <x v="136"/>
    <n v="70000"/>
    <x v="2"/>
    <n v="4120.7"/>
    <x v="1"/>
    <x v="7"/>
    <x v="1"/>
  </r>
  <r>
    <x v="216"/>
    <n v="40000"/>
    <x v="2"/>
    <n v="4665.8"/>
    <x v="0"/>
    <x v="8"/>
    <x v="1"/>
  </r>
  <r>
    <x v="308"/>
    <n v="70000"/>
    <x v="2"/>
    <n v="5851.46"/>
    <x v="0"/>
    <x v="1"/>
    <x v="0"/>
  </r>
  <r>
    <x v="83"/>
    <n v="40000"/>
    <x v="2"/>
    <n v="8207.48"/>
    <x v="0"/>
    <x v="0"/>
    <x v="11"/>
  </r>
  <r>
    <x v="240"/>
    <n v="60000"/>
    <x v="2"/>
    <n v="3329.92"/>
    <x v="1"/>
    <x v="9"/>
    <x v="7"/>
  </r>
  <r>
    <x v="0"/>
    <n v="80000"/>
    <x v="2"/>
    <n v="7521.5"/>
    <x v="1"/>
    <x v="9"/>
    <x v="0"/>
  </r>
  <r>
    <x v="258"/>
    <n v="90000"/>
    <x v="2"/>
    <n v="8686.48"/>
    <x v="1"/>
    <x v="5"/>
    <x v="10"/>
  </r>
  <r>
    <x v="5"/>
    <n v="70000"/>
    <x v="2"/>
    <n v="1565.18"/>
    <x v="0"/>
    <x v="2"/>
    <x v="3"/>
  </r>
  <r>
    <x v="170"/>
    <n v="70000"/>
    <x v="2"/>
    <n v="8260.5400000000009"/>
    <x v="1"/>
    <x v="9"/>
    <x v="8"/>
  </r>
  <r>
    <x v="148"/>
    <n v="40000"/>
    <x v="2"/>
    <n v="3969.67"/>
    <x v="1"/>
    <x v="3"/>
    <x v="5"/>
  </r>
  <r>
    <x v="289"/>
    <n v="110000"/>
    <x v="2"/>
    <n v="8259.2199999999993"/>
    <x v="1"/>
    <x v="9"/>
    <x v="5"/>
  </r>
  <r>
    <x v="309"/>
    <n v="70000"/>
    <x v="2"/>
    <n v="3678.73"/>
    <x v="1"/>
    <x v="7"/>
    <x v="10"/>
  </r>
  <r>
    <x v="256"/>
    <n v="80000"/>
    <x v="2"/>
    <n v="4133.84"/>
    <x v="0"/>
    <x v="6"/>
    <x v="0"/>
  </r>
  <r>
    <x v="60"/>
    <n v="30000"/>
    <x v="2"/>
    <n v="2216.4"/>
    <x v="0"/>
    <x v="2"/>
    <x v="9"/>
  </r>
  <r>
    <x v="129"/>
    <n v="130000"/>
    <x v="2"/>
    <n v="6244.33"/>
    <x v="0"/>
    <x v="8"/>
    <x v="4"/>
  </r>
  <r>
    <x v="191"/>
    <n v="20000"/>
    <x v="2"/>
    <n v="1485.39"/>
    <x v="1"/>
    <x v="7"/>
    <x v="7"/>
  </r>
  <r>
    <x v="70"/>
    <n v="70000"/>
    <x v="2"/>
    <n v="4134.75"/>
    <x v="1"/>
    <x v="7"/>
    <x v="0"/>
  </r>
  <r>
    <x v="304"/>
    <n v="40000"/>
    <x v="2"/>
    <n v="6179.99"/>
    <x v="0"/>
    <x v="1"/>
    <x v="4"/>
  </r>
  <r>
    <x v="142"/>
    <n v="60000"/>
    <x v="2"/>
    <n v="944.89"/>
    <x v="0"/>
    <x v="8"/>
    <x v="2"/>
  </r>
  <r>
    <x v="201"/>
    <n v="60000"/>
    <x v="2"/>
    <n v="8815.0499999999993"/>
    <x v="0"/>
    <x v="6"/>
    <x v="4"/>
  </r>
  <r>
    <x v="310"/>
    <n v="60000"/>
    <x v="2"/>
    <n v="6458.43"/>
    <x v="0"/>
    <x v="2"/>
    <x v="0"/>
  </r>
  <r>
    <x v="184"/>
    <n v="60000"/>
    <x v="2"/>
    <n v="9614.8799999999992"/>
    <x v="1"/>
    <x v="9"/>
    <x v="4"/>
  </r>
  <r>
    <x v="311"/>
    <n v="130000"/>
    <x v="2"/>
    <n v="3959.28"/>
    <x v="1"/>
    <x v="4"/>
    <x v="4"/>
  </r>
  <r>
    <x v="312"/>
    <n v="130000"/>
    <x v="2"/>
    <n v="1596.58"/>
    <x v="1"/>
    <x v="9"/>
    <x v="4"/>
  </r>
  <r>
    <x v="263"/>
    <n v="30000"/>
    <x v="2"/>
    <n v="5050.53"/>
    <x v="0"/>
    <x v="6"/>
    <x v="3"/>
  </r>
  <r>
    <x v="95"/>
    <n v="40000"/>
    <x v="2"/>
    <n v="4686.5600000000004"/>
    <x v="1"/>
    <x v="4"/>
    <x v="6"/>
  </r>
  <r>
    <x v="161"/>
    <n v="70000"/>
    <x v="2"/>
    <n v="1933.14"/>
    <x v="1"/>
    <x v="5"/>
    <x v="5"/>
  </r>
  <r>
    <x v="313"/>
    <n v="40000"/>
    <x v="2"/>
    <n v="2911.67"/>
    <x v="0"/>
    <x v="2"/>
    <x v="11"/>
  </r>
  <r>
    <x v="46"/>
    <n v="60000"/>
    <x v="2"/>
    <n v="8064.33"/>
    <x v="0"/>
    <x v="0"/>
    <x v="11"/>
  </r>
  <r>
    <x v="99"/>
    <n v="40000"/>
    <x v="2"/>
    <n v="8165.36"/>
    <x v="1"/>
    <x v="4"/>
    <x v="11"/>
  </r>
  <r>
    <x v="232"/>
    <n v="40000"/>
    <x v="2"/>
    <n v="6575.62"/>
    <x v="1"/>
    <x v="9"/>
    <x v="10"/>
  </r>
  <r>
    <x v="219"/>
    <n v="30000"/>
    <x v="2"/>
    <n v="6764.35"/>
    <x v="1"/>
    <x v="5"/>
    <x v="2"/>
  </r>
  <r>
    <x v="314"/>
    <n v="110000"/>
    <x v="2"/>
    <n v="9439.36"/>
    <x v="1"/>
    <x v="4"/>
    <x v="11"/>
  </r>
  <r>
    <x v="231"/>
    <n v="70000"/>
    <x v="2"/>
    <n v="4637.7"/>
    <x v="1"/>
    <x v="7"/>
    <x v="6"/>
  </r>
  <r>
    <x v="300"/>
    <n v="60000"/>
    <x v="2"/>
    <n v="7822.12"/>
    <x v="0"/>
    <x v="1"/>
    <x v="8"/>
  </r>
  <r>
    <x v="47"/>
    <n v="60000"/>
    <x v="2"/>
    <n v="9837.16"/>
    <x v="0"/>
    <x v="0"/>
    <x v="6"/>
  </r>
  <r>
    <x v="315"/>
    <n v="70000"/>
    <x v="2"/>
    <n v="1803.58"/>
    <x v="0"/>
    <x v="0"/>
    <x v="0"/>
  </r>
  <r>
    <x v="12"/>
    <n v="130000"/>
    <x v="2"/>
    <n v="3349.25"/>
    <x v="1"/>
    <x v="7"/>
    <x v="7"/>
  </r>
  <r>
    <x v="150"/>
    <n v="70000"/>
    <x v="2"/>
    <n v="8417.2000000000007"/>
    <x v="0"/>
    <x v="0"/>
    <x v="10"/>
  </r>
  <r>
    <x v="305"/>
    <n v="30000"/>
    <x v="2"/>
    <n v="9051.52"/>
    <x v="0"/>
    <x v="6"/>
    <x v="4"/>
  </r>
  <r>
    <x v="7"/>
    <n v="60000"/>
    <x v="2"/>
    <n v="8527.99"/>
    <x v="0"/>
    <x v="0"/>
    <x v="1"/>
  </r>
  <r>
    <x v="2"/>
    <n v="60000"/>
    <x v="2"/>
    <n v="7716.4"/>
    <x v="0"/>
    <x v="0"/>
    <x v="0"/>
  </r>
  <r>
    <x v="71"/>
    <n v="40000"/>
    <x v="2"/>
    <n v="484.75"/>
    <x v="1"/>
    <x v="4"/>
    <x v="9"/>
  </r>
  <r>
    <x v="279"/>
    <n v="40000"/>
    <x v="2"/>
    <n v="3771.03"/>
    <x v="1"/>
    <x v="9"/>
    <x v="1"/>
  </r>
  <r>
    <x v="89"/>
    <n v="60000"/>
    <x v="2"/>
    <n v="1850.69"/>
    <x v="0"/>
    <x v="8"/>
    <x v="8"/>
  </r>
  <r>
    <x v="316"/>
    <n v="40000"/>
    <x v="2"/>
    <n v="4264.38"/>
    <x v="0"/>
    <x v="6"/>
    <x v="1"/>
  </r>
  <r>
    <x v="119"/>
    <n v="30000"/>
    <x v="2"/>
    <n v="5208.55"/>
    <x v="1"/>
    <x v="3"/>
    <x v="7"/>
  </r>
  <r>
    <x v="179"/>
    <n v="80000"/>
    <x v="2"/>
    <n v="8185.17"/>
    <x v="0"/>
    <x v="2"/>
    <x v="8"/>
  </r>
  <r>
    <x v="31"/>
    <n v="60000"/>
    <x v="2"/>
    <n v="4565.4799999999996"/>
    <x v="1"/>
    <x v="9"/>
    <x v="10"/>
  </r>
  <r>
    <x v="95"/>
    <n v="20000"/>
    <x v="2"/>
    <n v="1802.99"/>
    <x v="1"/>
    <x v="4"/>
    <x v="6"/>
  </r>
  <r>
    <x v="55"/>
    <n v="60000"/>
    <x v="2"/>
    <n v="2261.5700000000002"/>
    <x v="1"/>
    <x v="7"/>
    <x v="5"/>
  </r>
  <r>
    <x v="130"/>
    <n v="50000"/>
    <x v="2"/>
    <n v="3548.79"/>
    <x v="1"/>
    <x v="7"/>
    <x v="6"/>
  </r>
  <r>
    <x v="203"/>
    <n v="50000"/>
    <x v="2"/>
    <n v="3788.76"/>
    <x v="0"/>
    <x v="6"/>
    <x v="4"/>
  </r>
  <r>
    <x v="12"/>
    <n v="60000"/>
    <x v="2"/>
    <n v="9860.1299999999992"/>
    <x v="1"/>
    <x v="4"/>
    <x v="7"/>
  </r>
  <r>
    <x v="235"/>
    <n v="70000"/>
    <x v="2"/>
    <n v="4719.0600000000004"/>
    <x v="1"/>
    <x v="5"/>
    <x v="2"/>
  </r>
  <r>
    <x v="230"/>
    <n v="50000"/>
    <x v="2"/>
    <n v="7245.28"/>
    <x v="1"/>
    <x v="5"/>
    <x v="3"/>
  </r>
  <r>
    <x v="135"/>
    <n v="60000"/>
    <x v="2"/>
    <n v="1095.05"/>
    <x v="0"/>
    <x v="0"/>
    <x v="2"/>
  </r>
  <r>
    <x v="148"/>
    <n v="120000"/>
    <x v="2"/>
    <n v="1767.18"/>
    <x v="0"/>
    <x v="6"/>
    <x v="5"/>
  </r>
  <r>
    <x v="78"/>
    <n v="100000"/>
    <x v="2"/>
    <n v="5823.39"/>
    <x v="0"/>
    <x v="2"/>
    <x v="9"/>
  </r>
  <r>
    <x v="37"/>
    <n v="60000"/>
    <x v="2"/>
    <n v="5148.3900000000003"/>
    <x v="1"/>
    <x v="7"/>
    <x v="0"/>
  </r>
  <r>
    <x v="317"/>
    <n v="80000"/>
    <x v="2"/>
    <n v="7447.75"/>
    <x v="0"/>
    <x v="6"/>
    <x v="10"/>
  </r>
  <r>
    <x v="52"/>
    <n v="60000"/>
    <x v="2"/>
    <n v="9894.4599999999991"/>
    <x v="0"/>
    <x v="0"/>
    <x v="11"/>
  </r>
  <r>
    <x v="318"/>
    <n v="60000"/>
    <x v="2"/>
    <n v="1996.76"/>
    <x v="1"/>
    <x v="4"/>
    <x v="9"/>
  </r>
  <r>
    <x v="60"/>
    <n v="80000"/>
    <x v="2"/>
    <n v="3291.49"/>
    <x v="1"/>
    <x v="3"/>
    <x v="9"/>
  </r>
  <r>
    <x v="280"/>
    <n v="70000"/>
    <x v="2"/>
    <n v="4231.83"/>
    <x v="1"/>
    <x v="9"/>
    <x v="1"/>
  </r>
  <r>
    <x v="221"/>
    <n v="70000"/>
    <x v="2"/>
    <n v="7770.78"/>
    <x v="1"/>
    <x v="3"/>
    <x v="1"/>
  </r>
  <r>
    <x v="319"/>
    <n v="40000"/>
    <x v="2"/>
    <n v="2282.11"/>
    <x v="1"/>
    <x v="4"/>
    <x v="8"/>
  </r>
  <r>
    <x v="218"/>
    <n v="90000"/>
    <x v="2"/>
    <n v="1228.43"/>
    <x v="1"/>
    <x v="5"/>
    <x v="10"/>
  </r>
  <r>
    <x v="73"/>
    <n v="80000"/>
    <x v="2"/>
    <n v="230.17"/>
    <x v="1"/>
    <x v="9"/>
    <x v="7"/>
  </r>
  <r>
    <x v="179"/>
    <n v="60000"/>
    <x v="2"/>
    <n v="4681.72"/>
    <x v="1"/>
    <x v="9"/>
    <x v="8"/>
  </r>
  <r>
    <x v="168"/>
    <n v="80000"/>
    <x v="2"/>
    <n v="9280.09"/>
    <x v="0"/>
    <x v="6"/>
    <x v="7"/>
  </r>
  <r>
    <x v="192"/>
    <n v="70000"/>
    <x v="2"/>
    <n v="7765.86"/>
    <x v="1"/>
    <x v="9"/>
    <x v="1"/>
  </r>
  <r>
    <x v="238"/>
    <n v="60000"/>
    <x v="2"/>
    <n v="5074.3900000000003"/>
    <x v="1"/>
    <x v="3"/>
    <x v="10"/>
  </r>
  <r>
    <x v="70"/>
    <n v="10000"/>
    <x v="2"/>
    <n v="3281.64"/>
    <x v="0"/>
    <x v="6"/>
    <x v="0"/>
  </r>
  <r>
    <x v="232"/>
    <n v="40000"/>
    <x v="2"/>
    <n v="1035.8399999999999"/>
    <x v="0"/>
    <x v="6"/>
    <x v="10"/>
  </r>
  <r>
    <x v="105"/>
    <n v="50000"/>
    <x v="2"/>
    <n v="680.32"/>
    <x v="1"/>
    <x v="4"/>
    <x v="9"/>
  </r>
  <r>
    <x v="298"/>
    <n v="70000"/>
    <x v="2"/>
    <n v="2421.2600000000002"/>
    <x v="1"/>
    <x v="7"/>
    <x v="9"/>
  </r>
  <r>
    <x v="320"/>
    <n v="20000"/>
    <x v="2"/>
    <n v="4298.0600000000004"/>
    <x v="1"/>
    <x v="3"/>
    <x v="5"/>
  </r>
  <r>
    <x v="133"/>
    <n v="60000"/>
    <x v="2"/>
    <n v="2321.39"/>
    <x v="1"/>
    <x v="4"/>
    <x v="2"/>
  </r>
  <r>
    <x v="321"/>
    <n v="80000"/>
    <x v="2"/>
    <n v="3401.55"/>
    <x v="1"/>
    <x v="4"/>
    <x v="4"/>
  </r>
  <r>
    <x v="125"/>
    <n v="40000"/>
    <x v="2"/>
    <n v="5613.66"/>
    <x v="0"/>
    <x v="8"/>
    <x v="2"/>
  </r>
  <r>
    <x v="121"/>
    <n v="30000"/>
    <x v="2"/>
    <n v="8227.49"/>
    <x v="1"/>
    <x v="5"/>
    <x v="1"/>
  </r>
  <r>
    <x v="179"/>
    <n v="30000"/>
    <x v="2"/>
    <n v="9743.73"/>
    <x v="1"/>
    <x v="4"/>
    <x v="8"/>
  </r>
  <r>
    <x v="244"/>
    <n v="50000"/>
    <x v="2"/>
    <n v="2093.21"/>
    <x v="0"/>
    <x v="2"/>
    <x v="3"/>
  </r>
  <r>
    <x v="210"/>
    <n v="60000"/>
    <x v="2"/>
    <n v="3010.57"/>
    <x v="0"/>
    <x v="8"/>
    <x v="3"/>
  </r>
  <r>
    <x v="299"/>
    <n v="70000"/>
    <x v="2"/>
    <n v="2070.65"/>
    <x v="0"/>
    <x v="8"/>
    <x v="8"/>
  </r>
  <r>
    <x v="322"/>
    <n v="60000"/>
    <x v="2"/>
    <n v="3181.31"/>
    <x v="1"/>
    <x v="4"/>
    <x v="10"/>
  </r>
  <r>
    <x v="231"/>
    <n v="30000"/>
    <x v="2"/>
    <n v="2312.27"/>
    <x v="0"/>
    <x v="0"/>
    <x v="6"/>
  </r>
  <r>
    <x v="323"/>
    <n v="50000"/>
    <x v="2"/>
    <n v="1935.63"/>
    <x v="0"/>
    <x v="2"/>
    <x v="7"/>
  </r>
  <r>
    <x v="132"/>
    <n v="60000"/>
    <x v="2"/>
    <n v="7384.37"/>
    <x v="0"/>
    <x v="0"/>
    <x v="10"/>
  </r>
  <r>
    <x v="47"/>
    <n v="70000"/>
    <x v="2"/>
    <n v="929.78"/>
    <x v="1"/>
    <x v="7"/>
    <x v="6"/>
  </r>
  <r>
    <x v="55"/>
    <n v="40000"/>
    <x v="2"/>
    <n v="7879.03"/>
    <x v="0"/>
    <x v="1"/>
    <x v="5"/>
  </r>
  <r>
    <x v="184"/>
    <n v="40000"/>
    <x v="2"/>
    <n v="4930.8999999999996"/>
    <x v="1"/>
    <x v="4"/>
    <x v="4"/>
  </r>
  <r>
    <x v="109"/>
    <n v="40000"/>
    <x v="2"/>
    <n v="6608.48"/>
    <x v="0"/>
    <x v="6"/>
    <x v="6"/>
  </r>
  <r>
    <x v="218"/>
    <n v="40000"/>
    <x v="2"/>
    <n v="8861.74"/>
    <x v="0"/>
    <x v="0"/>
    <x v="10"/>
  </r>
  <r>
    <x v="48"/>
    <n v="10000"/>
    <x v="2"/>
    <n v="7533.71"/>
    <x v="1"/>
    <x v="4"/>
    <x v="10"/>
  </r>
  <r>
    <x v="285"/>
    <n v="60000"/>
    <x v="2"/>
    <n v="8144.06"/>
    <x v="1"/>
    <x v="7"/>
    <x v="2"/>
  </r>
  <r>
    <x v="59"/>
    <n v="30000"/>
    <x v="2"/>
    <n v="3793.63"/>
    <x v="0"/>
    <x v="6"/>
    <x v="5"/>
  </r>
  <r>
    <x v="324"/>
    <n v="40000"/>
    <x v="2"/>
    <n v="3963.05"/>
    <x v="0"/>
    <x v="0"/>
    <x v="7"/>
  </r>
  <r>
    <x v="21"/>
    <n v="70000"/>
    <x v="2"/>
    <n v="7854.18"/>
    <x v="0"/>
    <x v="0"/>
    <x v="4"/>
  </r>
  <r>
    <x v="214"/>
    <n v="60000"/>
    <x v="2"/>
    <n v="8813.44"/>
    <x v="1"/>
    <x v="5"/>
    <x v="2"/>
  </r>
  <r>
    <x v="41"/>
    <n v="70000"/>
    <x v="2"/>
    <n v="2865.33"/>
    <x v="1"/>
    <x v="4"/>
    <x v="8"/>
  </r>
  <r>
    <x v="95"/>
    <n v="70000"/>
    <x v="2"/>
    <n v="4072.04"/>
    <x v="1"/>
    <x v="9"/>
    <x v="6"/>
  </r>
  <r>
    <x v="192"/>
    <n v="70000"/>
    <x v="2"/>
    <n v="7451.54"/>
    <x v="0"/>
    <x v="2"/>
    <x v="1"/>
  </r>
  <r>
    <x v="111"/>
    <n v="40000"/>
    <x v="2"/>
    <n v="1555.39"/>
    <x v="1"/>
    <x v="3"/>
    <x v="6"/>
  </r>
  <r>
    <x v="325"/>
    <n v="60000"/>
    <x v="2"/>
    <n v="7681.6"/>
    <x v="0"/>
    <x v="6"/>
    <x v="9"/>
  </r>
  <r>
    <x v="35"/>
    <n v="60000"/>
    <x v="2"/>
    <n v="6202.21"/>
    <x v="1"/>
    <x v="9"/>
    <x v="1"/>
  </r>
  <r>
    <x v="25"/>
    <n v="40000"/>
    <x v="2"/>
    <n v="1758.57"/>
    <x v="0"/>
    <x v="0"/>
    <x v="8"/>
  </r>
  <r>
    <x v="209"/>
    <n v="40000"/>
    <x v="2"/>
    <n v="5503.34"/>
    <x v="1"/>
    <x v="4"/>
    <x v="8"/>
  </r>
  <r>
    <x v="239"/>
    <n v="110000"/>
    <x v="2"/>
    <n v="4940.7700000000004"/>
    <x v="1"/>
    <x v="9"/>
    <x v="0"/>
  </r>
  <r>
    <x v="233"/>
    <n v="60000"/>
    <x v="2"/>
    <n v="1466.63"/>
    <x v="1"/>
    <x v="5"/>
    <x v="3"/>
  </r>
  <r>
    <x v="25"/>
    <n v="30000"/>
    <x v="2"/>
    <n v="4412.63"/>
    <x v="1"/>
    <x v="3"/>
    <x v="8"/>
  </r>
  <r>
    <x v="138"/>
    <n v="70000"/>
    <x v="2"/>
    <n v="6234.4"/>
    <x v="1"/>
    <x v="7"/>
    <x v="11"/>
  </r>
  <r>
    <x v="256"/>
    <n v="110000"/>
    <x v="2"/>
    <n v="345.96"/>
    <x v="0"/>
    <x v="8"/>
    <x v="0"/>
  </r>
  <r>
    <x v="112"/>
    <n v="70000"/>
    <x v="2"/>
    <n v="4869.8599999999997"/>
    <x v="1"/>
    <x v="5"/>
    <x v="7"/>
  </r>
  <r>
    <x v="236"/>
    <n v="70000"/>
    <x v="2"/>
    <n v="6089.91"/>
    <x v="0"/>
    <x v="2"/>
    <x v="8"/>
  </r>
  <r>
    <x v="235"/>
    <n v="80000"/>
    <x v="2"/>
    <n v="3111.04"/>
    <x v="1"/>
    <x v="3"/>
    <x v="2"/>
  </r>
  <r>
    <x v="326"/>
    <n v="40000"/>
    <x v="2"/>
    <n v="452.35"/>
    <x v="0"/>
    <x v="8"/>
    <x v="1"/>
  </r>
  <r>
    <x v="312"/>
    <n v="170000"/>
    <x v="2"/>
    <n v="3230.27"/>
    <x v="0"/>
    <x v="1"/>
    <x v="4"/>
  </r>
  <r>
    <x v="126"/>
    <n v="60000"/>
    <x v="2"/>
    <n v="2538.2800000000002"/>
    <x v="0"/>
    <x v="6"/>
    <x v="8"/>
  </r>
  <r>
    <x v="119"/>
    <n v="70000"/>
    <x v="2"/>
    <n v="6118.51"/>
    <x v="0"/>
    <x v="1"/>
    <x v="7"/>
  </r>
  <r>
    <x v="327"/>
    <n v="60000"/>
    <x v="2"/>
    <n v="6312.24"/>
    <x v="1"/>
    <x v="5"/>
    <x v="5"/>
  </r>
  <r>
    <x v="226"/>
    <n v="70000"/>
    <x v="2"/>
    <n v="2966.15"/>
    <x v="0"/>
    <x v="1"/>
    <x v="6"/>
  </r>
  <r>
    <x v="230"/>
    <n v="70000"/>
    <x v="2"/>
    <n v="3166.04"/>
    <x v="1"/>
    <x v="9"/>
    <x v="3"/>
  </r>
  <r>
    <x v="49"/>
    <n v="60000"/>
    <x v="2"/>
    <n v="3581.07"/>
    <x v="0"/>
    <x v="1"/>
    <x v="4"/>
  </r>
  <r>
    <x v="328"/>
    <n v="40000"/>
    <x v="2"/>
    <n v="8480.27"/>
    <x v="1"/>
    <x v="9"/>
    <x v="5"/>
  </r>
  <r>
    <x v="210"/>
    <n v="60000"/>
    <x v="2"/>
    <n v="5306.57"/>
    <x v="1"/>
    <x v="9"/>
    <x v="3"/>
  </r>
  <r>
    <x v="73"/>
    <n v="80000"/>
    <x v="2"/>
    <n v="7345.29"/>
    <x v="0"/>
    <x v="8"/>
    <x v="7"/>
  </r>
  <r>
    <x v="192"/>
    <n v="80000"/>
    <x v="2"/>
    <n v="3926.35"/>
    <x v="1"/>
    <x v="9"/>
    <x v="1"/>
  </r>
  <r>
    <x v="38"/>
    <n v="70000"/>
    <x v="2"/>
    <n v="5818.55"/>
    <x v="1"/>
    <x v="9"/>
    <x v="2"/>
  </r>
  <r>
    <x v="252"/>
    <n v="120000"/>
    <x v="2"/>
    <n v="7495.59"/>
    <x v="1"/>
    <x v="3"/>
    <x v="3"/>
  </r>
  <r>
    <x v="248"/>
    <n v="60000"/>
    <x v="2"/>
    <n v="8915.9"/>
    <x v="1"/>
    <x v="9"/>
    <x v="0"/>
  </r>
  <r>
    <x v="143"/>
    <n v="80000"/>
    <x v="2"/>
    <n v="669.77"/>
    <x v="0"/>
    <x v="6"/>
    <x v="8"/>
  </r>
  <r>
    <x v="82"/>
    <n v="40000"/>
    <x v="2"/>
    <n v="1692.61"/>
    <x v="0"/>
    <x v="8"/>
    <x v="3"/>
  </r>
  <r>
    <x v="245"/>
    <n v="20000"/>
    <x v="2"/>
    <n v="5991.14"/>
    <x v="0"/>
    <x v="8"/>
    <x v="0"/>
  </r>
  <r>
    <x v="4"/>
    <n v="70000"/>
    <x v="2"/>
    <n v="7412.86"/>
    <x v="1"/>
    <x v="9"/>
    <x v="1"/>
  </r>
  <r>
    <x v="179"/>
    <n v="40000"/>
    <x v="2"/>
    <n v="1030.06"/>
    <x v="1"/>
    <x v="9"/>
    <x v="8"/>
  </r>
  <r>
    <x v="173"/>
    <n v="130000"/>
    <x v="2"/>
    <n v="8777.75"/>
    <x v="1"/>
    <x v="9"/>
    <x v="1"/>
  </r>
  <r>
    <x v="155"/>
    <n v="40000"/>
    <x v="2"/>
    <n v="5041.04"/>
    <x v="0"/>
    <x v="2"/>
    <x v="1"/>
  </r>
  <r>
    <x v="106"/>
    <n v="130000"/>
    <x v="2"/>
    <n v="3129.94"/>
    <x v="0"/>
    <x v="2"/>
    <x v="11"/>
  </r>
  <r>
    <x v="96"/>
    <n v="60000"/>
    <x v="2"/>
    <n v="4151.5200000000004"/>
    <x v="0"/>
    <x v="6"/>
    <x v="0"/>
  </r>
  <r>
    <x v="152"/>
    <n v="50000"/>
    <x v="2"/>
    <n v="6151.53"/>
    <x v="1"/>
    <x v="5"/>
    <x v="5"/>
  </r>
  <r>
    <x v="329"/>
    <n v="60000"/>
    <x v="2"/>
    <n v="1668.75"/>
    <x v="0"/>
    <x v="6"/>
    <x v="8"/>
  </r>
  <r>
    <x v="177"/>
    <n v="60000"/>
    <x v="2"/>
    <n v="6192.78"/>
    <x v="0"/>
    <x v="6"/>
    <x v="1"/>
  </r>
  <r>
    <x v="244"/>
    <n v="30000"/>
    <x v="2"/>
    <n v="4765.5600000000004"/>
    <x v="0"/>
    <x v="1"/>
    <x v="3"/>
  </r>
  <r>
    <x v="62"/>
    <n v="40000"/>
    <x v="2"/>
    <n v="3164.84"/>
    <x v="1"/>
    <x v="5"/>
    <x v="8"/>
  </r>
  <r>
    <x v="175"/>
    <n v="60000"/>
    <x v="2"/>
    <n v="5218.28"/>
    <x v="1"/>
    <x v="7"/>
    <x v="7"/>
  </r>
  <r>
    <x v="257"/>
    <n v="40000"/>
    <x v="2"/>
    <n v="5951.69"/>
    <x v="1"/>
    <x v="7"/>
    <x v="5"/>
  </r>
  <r>
    <x v="67"/>
    <n v="30000"/>
    <x v="2"/>
    <n v="7144.9"/>
    <x v="1"/>
    <x v="9"/>
    <x v="9"/>
  </r>
  <r>
    <x v="238"/>
    <n v="30000"/>
    <x v="2"/>
    <n v="6194.81"/>
    <x v="0"/>
    <x v="8"/>
    <x v="10"/>
  </r>
  <r>
    <x v="207"/>
    <n v="20000"/>
    <x v="2"/>
    <n v="1071.8800000000001"/>
    <x v="0"/>
    <x v="1"/>
    <x v="6"/>
  </r>
  <r>
    <x v="230"/>
    <n v="50000"/>
    <x v="2"/>
    <n v="7577.33"/>
    <x v="0"/>
    <x v="6"/>
    <x v="3"/>
  </r>
  <r>
    <x v="174"/>
    <n v="80000"/>
    <x v="2"/>
    <n v="5198.6899999999996"/>
    <x v="1"/>
    <x v="9"/>
    <x v="10"/>
  </r>
  <r>
    <x v="258"/>
    <n v="40000"/>
    <x v="2"/>
    <n v="3042.62"/>
    <x v="1"/>
    <x v="5"/>
    <x v="10"/>
  </r>
  <r>
    <x v="60"/>
    <n v="80000"/>
    <x v="2"/>
    <n v="8168.9"/>
    <x v="1"/>
    <x v="9"/>
    <x v="9"/>
  </r>
  <r>
    <x v="217"/>
    <n v="60000"/>
    <x v="2"/>
    <n v="5496.65"/>
    <x v="0"/>
    <x v="2"/>
    <x v="9"/>
  </r>
  <r>
    <x v="220"/>
    <n v="70000"/>
    <x v="2"/>
    <n v="6177.12"/>
    <x v="1"/>
    <x v="9"/>
    <x v="3"/>
  </r>
  <r>
    <x v="46"/>
    <n v="30000"/>
    <x v="2"/>
    <n v="4670.26"/>
    <x v="0"/>
    <x v="1"/>
    <x v="11"/>
  </r>
  <r>
    <x v="116"/>
    <n v="110000"/>
    <x v="2"/>
    <n v="5182.72"/>
    <x v="0"/>
    <x v="1"/>
    <x v="4"/>
  </r>
  <r>
    <x v="46"/>
    <n v="60000"/>
    <x v="2"/>
    <n v="8937.58"/>
    <x v="0"/>
    <x v="6"/>
    <x v="11"/>
  </r>
  <r>
    <x v="253"/>
    <n v="60000"/>
    <x v="2"/>
    <n v="5894.96"/>
    <x v="1"/>
    <x v="4"/>
    <x v="11"/>
  </r>
  <r>
    <x v="223"/>
    <n v="70000"/>
    <x v="2"/>
    <n v="9254.19"/>
    <x v="0"/>
    <x v="6"/>
    <x v="11"/>
  </r>
  <r>
    <x v="156"/>
    <n v="50000"/>
    <x v="2"/>
    <n v="2366.06"/>
    <x v="0"/>
    <x v="1"/>
    <x v="1"/>
  </r>
  <r>
    <x v="158"/>
    <n v="30000"/>
    <x v="2"/>
    <n v="7612.74"/>
    <x v="1"/>
    <x v="4"/>
    <x v="1"/>
  </r>
  <r>
    <x v="88"/>
    <n v="70000"/>
    <x v="2"/>
    <n v="680.38"/>
    <x v="1"/>
    <x v="3"/>
    <x v="2"/>
  </r>
  <r>
    <x v="105"/>
    <n v="30000"/>
    <x v="2"/>
    <n v="7747.31"/>
    <x v="0"/>
    <x v="6"/>
    <x v="9"/>
  </r>
  <r>
    <x v="234"/>
    <n v="70000"/>
    <x v="2"/>
    <n v="8877.19"/>
    <x v="1"/>
    <x v="4"/>
    <x v="0"/>
  </r>
  <r>
    <x v="330"/>
    <n v="50000"/>
    <x v="2"/>
    <n v="8797.59"/>
    <x v="0"/>
    <x v="8"/>
    <x v="5"/>
  </r>
  <r>
    <x v="55"/>
    <n v="90000"/>
    <x v="2"/>
    <n v="826.17"/>
    <x v="0"/>
    <x v="8"/>
    <x v="5"/>
  </r>
  <r>
    <x v="71"/>
    <n v="80000"/>
    <x v="2"/>
    <n v="9338.5499999999993"/>
    <x v="0"/>
    <x v="0"/>
    <x v="9"/>
  </r>
  <r>
    <x v="193"/>
    <n v="80000"/>
    <x v="2"/>
    <n v="634.58000000000004"/>
    <x v="1"/>
    <x v="7"/>
    <x v="11"/>
  </r>
  <r>
    <x v="133"/>
    <n v="30000"/>
    <x v="2"/>
    <n v="1459.65"/>
    <x v="0"/>
    <x v="6"/>
    <x v="2"/>
  </r>
  <r>
    <x v="104"/>
    <n v="60000"/>
    <x v="2"/>
    <n v="9332.4500000000007"/>
    <x v="0"/>
    <x v="8"/>
    <x v="5"/>
  </r>
  <r>
    <x v="24"/>
    <n v="80000"/>
    <x v="2"/>
    <n v="7228.4"/>
    <x v="1"/>
    <x v="4"/>
    <x v="6"/>
  </r>
  <r>
    <x v="171"/>
    <n v="20000"/>
    <x v="2"/>
    <n v="5566.87"/>
    <x v="0"/>
    <x v="2"/>
    <x v="9"/>
  </r>
  <r>
    <x v="80"/>
    <n v="70000"/>
    <x v="2"/>
    <n v="1514.06"/>
    <x v="0"/>
    <x v="2"/>
    <x v="6"/>
  </r>
  <r>
    <x v="301"/>
    <n v="50000"/>
    <x v="2"/>
    <n v="3672.68"/>
    <x v="0"/>
    <x v="1"/>
    <x v="11"/>
  </r>
  <r>
    <x v="90"/>
    <n v="60000"/>
    <x v="2"/>
    <n v="3183.62"/>
    <x v="1"/>
    <x v="7"/>
    <x v="3"/>
  </r>
  <r>
    <x v="331"/>
    <n v="70000"/>
    <x v="2"/>
    <n v="7993.17"/>
    <x v="1"/>
    <x v="9"/>
    <x v="11"/>
  </r>
  <r>
    <x v="178"/>
    <n v="40000"/>
    <x v="2"/>
    <n v="5560.88"/>
    <x v="1"/>
    <x v="9"/>
    <x v="7"/>
  </r>
  <r>
    <x v="39"/>
    <n v="100000"/>
    <x v="2"/>
    <n v="1547.8"/>
    <x v="1"/>
    <x v="4"/>
    <x v="10"/>
  </r>
  <r>
    <x v="24"/>
    <n v="70000"/>
    <x v="2"/>
    <n v="4074.85"/>
    <x v="0"/>
    <x v="1"/>
    <x v="6"/>
  </r>
  <r>
    <x v="150"/>
    <n v="60000"/>
    <x v="2"/>
    <n v="8430.18"/>
    <x v="1"/>
    <x v="7"/>
    <x v="10"/>
  </r>
  <r>
    <x v="44"/>
    <n v="70000"/>
    <x v="2"/>
    <n v="4089.09"/>
    <x v="1"/>
    <x v="4"/>
    <x v="3"/>
  </r>
  <r>
    <x v="303"/>
    <n v="50000"/>
    <x v="2"/>
    <n v="7075.42"/>
    <x v="1"/>
    <x v="7"/>
    <x v="11"/>
  </r>
  <r>
    <x v="189"/>
    <n v="50000"/>
    <x v="2"/>
    <n v="6009.1"/>
    <x v="1"/>
    <x v="5"/>
    <x v="9"/>
  </r>
  <r>
    <x v="172"/>
    <n v="30000"/>
    <x v="2"/>
    <n v="9800.64"/>
    <x v="0"/>
    <x v="1"/>
    <x v="6"/>
  </r>
  <r>
    <x v="3"/>
    <n v="70000"/>
    <x v="2"/>
    <n v="7290.47"/>
    <x v="1"/>
    <x v="4"/>
    <x v="2"/>
  </r>
  <r>
    <x v="64"/>
    <n v="70000"/>
    <x v="2"/>
    <n v="7887.42"/>
    <x v="0"/>
    <x v="0"/>
    <x v="8"/>
  </r>
  <r>
    <x v="276"/>
    <n v="40000"/>
    <x v="2"/>
    <n v="8628.4500000000007"/>
    <x v="0"/>
    <x v="0"/>
    <x v="3"/>
  </r>
  <r>
    <x v="125"/>
    <n v="60000"/>
    <x v="2"/>
    <n v="3233.33"/>
    <x v="1"/>
    <x v="4"/>
    <x v="2"/>
  </r>
  <r>
    <x v="155"/>
    <n v="80000"/>
    <x v="2"/>
    <n v="7854.53"/>
    <x v="1"/>
    <x v="4"/>
    <x v="1"/>
  </r>
  <r>
    <x v="39"/>
    <n v="90000"/>
    <x v="2"/>
    <n v="1857.49"/>
    <x v="1"/>
    <x v="3"/>
    <x v="10"/>
  </r>
  <r>
    <x v="169"/>
    <n v="60000"/>
    <x v="2"/>
    <n v="457.02"/>
    <x v="0"/>
    <x v="2"/>
    <x v="9"/>
  </r>
  <r>
    <x v="299"/>
    <n v="90000"/>
    <x v="2"/>
    <n v="8225.41"/>
    <x v="1"/>
    <x v="4"/>
    <x v="8"/>
  </r>
  <r>
    <x v="312"/>
    <n v="60000"/>
    <x v="2"/>
    <n v="5617.95"/>
    <x v="1"/>
    <x v="7"/>
    <x v="4"/>
  </r>
  <r>
    <x v="200"/>
    <n v="50000"/>
    <x v="2"/>
    <n v="723.36"/>
    <x v="0"/>
    <x v="6"/>
    <x v="0"/>
  </r>
  <r>
    <x v="13"/>
    <n v="50000"/>
    <x v="2"/>
    <n v="8289.1"/>
    <x v="1"/>
    <x v="4"/>
    <x v="5"/>
  </r>
  <r>
    <x v="163"/>
    <n v="60000"/>
    <x v="2"/>
    <n v="4060.31"/>
    <x v="1"/>
    <x v="3"/>
    <x v="4"/>
  </r>
  <r>
    <x v="298"/>
    <n v="40000"/>
    <x v="2"/>
    <n v="825.84"/>
    <x v="0"/>
    <x v="2"/>
    <x v="9"/>
  </r>
  <r>
    <x v="162"/>
    <n v="80000"/>
    <x v="2"/>
    <n v="9571.7999999999993"/>
    <x v="1"/>
    <x v="7"/>
    <x v="10"/>
  </r>
  <r>
    <x v="78"/>
    <n v="40000"/>
    <x v="2"/>
    <n v="1052.3900000000001"/>
    <x v="0"/>
    <x v="1"/>
    <x v="9"/>
  </r>
  <r>
    <x v="271"/>
    <n v="60000"/>
    <x v="2"/>
    <n v="6847.53"/>
    <x v="0"/>
    <x v="8"/>
    <x v="3"/>
  </r>
  <r>
    <x v="266"/>
    <n v="80000"/>
    <x v="2"/>
    <n v="9264.6"/>
    <x v="0"/>
    <x v="2"/>
    <x v="9"/>
  </r>
  <r>
    <x v="172"/>
    <n v="60000"/>
    <x v="2"/>
    <n v="7993.41"/>
    <x v="1"/>
    <x v="5"/>
    <x v="6"/>
  </r>
  <r>
    <x v="232"/>
    <n v="70000"/>
    <x v="2"/>
    <n v="9817.34"/>
    <x v="0"/>
    <x v="2"/>
    <x v="10"/>
  </r>
  <r>
    <x v="100"/>
    <n v="110000"/>
    <x v="2"/>
    <n v="505.03"/>
    <x v="0"/>
    <x v="8"/>
    <x v="5"/>
  </r>
  <r>
    <x v="242"/>
    <n v="70000"/>
    <x v="2"/>
    <n v="9241.73"/>
    <x v="0"/>
    <x v="0"/>
    <x v="8"/>
  </r>
  <r>
    <x v="332"/>
    <n v="40000"/>
    <x v="2"/>
    <n v="9373.19"/>
    <x v="0"/>
    <x v="2"/>
    <x v="3"/>
  </r>
  <r>
    <x v="91"/>
    <n v="30000"/>
    <x v="2"/>
    <n v="3802.53"/>
    <x v="0"/>
    <x v="6"/>
    <x v="11"/>
  </r>
  <r>
    <x v="56"/>
    <n v="70000"/>
    <x v="2"/>
    <n v="210.79"/>
    <x v="1"/>
    <x v="4"/>
    <x v="1"/>
  </r>
  <r>
    <x v="333"/>
    <n v="40000"/>
    <x v="2"/>
    <n v="7520.22"/>
    <x v="1"/>
    <x v="4"/>
    <x v="2"/>
  </r>
  <r>
    <x v="196"/>
    <n v="70000"/>
    <x v="2"/>
    <n v="2050.14"/>
    <x v="0"/>
    <x v="8"/>
    <x v="2"/>
  </r>
  <r>
    <x v="29"/>
    <n v="90000"/>
    <x v="2"/>
    <n v="9989.7900000000009"/>
    <x v="0"/>
    <x v="8"/>
    <x v="7"/>
  </r>
  <r>
    <x v="58"/>
    <n v="50000"/>
    <x v="2"/>
    <n v="9767.99"/>
    <x v="1"/>
    <x v="7"/>
    <x v="8"/>
  </r>
  <r>
    <x v="309"/>
    <n v="40000"/>
    <x v="2"/>
    <n v="6293.64"/>
    <x v="1"/>
    <x v="7"/>
    <x v="10"/>
  </r>
  <r>
    <x v="320"/>
    <n v="70000"/>
    <x v="2"/>
    <n v="7488.74"/>
    <x v="1"/>
    <x v="7"/>
    <x v="5"/>
  </r>
  <r>
    <x v="13"/>
    <n v="60000"/>
    <x v="2"/>
    <n v="8961.89"/>
    <x v="0"/>
    <x v="1"/>
    <x v="5"/>
  </r>
  <r>
    <x v="228"/>
    <n v="60000"/>
    <x v="2"/>
    <n v="3108.64"/>
    <x v="1"/>
    <x v="3"/>
    <x v="1"/>
  </r>
  <r>
    <x v="261"/>
    <n v="70000"/>
    <x v="2"/>
    <n v="6237.88"/>
    <x v="0"/>
    <x v="6"/>
    <x v="4"/>
  </r>
  <r>
    <x v="326"/>
    <n v="40000"/>
    <x v="2"/>
    <n v="2609.63"/>
    <x v="0"/>
    <x v="6"/>
    <x v="1"/>
  </r>
  <r>
    <x v="91"/>
    <n v="40000"/>
    <x v="2"/>
    <n v="7315.75"/>
    <x v="1"/>
    <x v="5"/>
    <x v="11"/>
  </r>
  <r>
    <x v="240"/>
    <n v="60000"/>
    <x v="2"/>
    <n v="2053.1799999999998"/>
    <x v="0"/>
    <x v="0"/>
    <x v="7"/>
  </r>
  <r>
    <x v="332"/>
    <n v="60000"/>
    <x v="2"/>
    <n v="9118.9599999999991"/>
    <x v="1"/>
    <x v="9"/>
    <x v="3"/>
  </r>
  <r>
    <x v="139"/>
    <n v="60000"/>
    <x v="2"/>
    <n v="3797.43"/>
    <x v="1"/>
    <x v="4"/>
    <x v="1"/>
  </r>
  <r>
    <x v="6"/>
    <n v="60000"/>
    <x v="2"/>
    <n v="3347.26"/>
    <x v="1"/>
    <x v="4"/>
    <x v="4"/>
  </r>
  <r>
    <x v="61"/>
    <n v="70000"/>
    <x v="2"/>
    <n v="8752.74"/>
    <x v="0"/>
    <x v="0"/>
    <x v="2"/>
  </r>
  <r>
    <x v="328"/>
    <n v="40000"/>
    <x v="2"/>
    <n v="2304.88"/>
    <x v="0"/>
    <x v="2"/>
    <x v="5"/>
  </r>
  <r>
    <x v="191"/>
    <n v="80000"/>
    <x v="2"/>
    <n v="3826.37"/>
    <x v="1"/>
    <x v="9"/>
    <x v="7"/>
  </r>
  <r>
    <x v="239"/>
    <n v="60000"/>
    <x v="2"/>
    <n v="9061.81"/>
    <x v="1"/>
    <x v="5"/>
    <x v="0"/>
  </r>
  <r>
    <x v="51"/>
    <n v="60000"/>
    <x v="2"/>
    <n v="5746.78"/>
    <x v="1"/>
    <x v="5"/>
    <x v="10"/>
  </r>
  <r>
    <x v="97"/>
    <n v="40000"/>
    <x v="2"/>
    <n v="1487.66"/>
    <x v="1"/>
    <x v="9"/>
    <x v="8"/>
  </r>
  <r>
    <x v="46"/>
    <n v="60000"/>
    <x v="2"/>
    <n v="9248.6299999999992"/>
    <x v="0"/>
    <x v="8"/>
    <x v="11"/>
  </r>
  <r>
    <x v="290"/>
    <n v="50000"/>
    <x v="2"/>
    <n v="9958.44"/>
    <x v="0"/>
    <x v="0"/>
    <x v="3"/>
  </r>
  <r>
    <x v="276"/>
    <n v="50000"/>
    <x v="2"/>
    <n v="4672.37"/>
    <x v="0"/>
    <x v="2"/>
    <x v="3"/>
  </r>
  <r>
    <x v="201"/>
    <n v="90000"/>
    <x v="2"/>
    <n v="6252.87"/>
    <x v="0"/>
    <x v="8"/>
    <x v="4"/>
  </r>
  <r>
    <x v="108"/>
    <n v="90000"/>
    <x v="2"/>
    <n v="9997.23"/>
    <x v="1"/>
    <x v="9"/>
    <x v="7"/>
  </r>
  <r>
    <x v="248"/>
    <n v="60000"/>
    <x v="2"/>
    <n v="517.51"/>
    <x v="0"/>
    <x v="8"/>
    <x v="0"/>
  </r>
  <r>
    <x v="202"/>
    <n v="70000"/>
    <x v="2"/>
    <n v="1874.54"/>
    <x v="0"/>
    <x v="6"/>
    <x v="1"/>
  </r>
  <r>
    <x v="275"/>
    <n v="70000"/>
    <x v="2"/>
    <n v="2156.9699999999998"/>
    <x v="1"/>
    <x v="5"/>
    <x v="0"/>
  </r>
  <r>
    <x v="83"/>
    <n v="70000"/>
    <x v="2"/>
    <n v="9910.17"/>
    <x v="0"/>
    <x v="8"/>
    <x v="11"/>
  </r>
  <r>
    <x v="59"/>
    <n v="70000"/>
    <x v="2"/>
    <n v="2043.44"/>
    <x v="1"/>
    <x v="3"/>
    <x v="5"/>
  </r>
  <r>
    <x v="256"/>
    <n v="40000"/>
    <x v="2"/>
    <n v="105.48"/>
    <x v="0"/>
    <x v="1"/>
    <x v="0"/>
  </r>
  <r>
    <x v="239"/>
    <n v="60000"/>
    <x v="2"/>
    <n v="1320.15"/>
    <x v="0"/>
    <x v="1"/>
    <x v="0"/>
  </r>
  <r>
    <x v="240"/>
    <n v="40000"/>
    <x v="2"/>
    <n v="946.27"/>
    <x v="1"/>
    <x v="7"/>
    <x v="7"/>
  </r>
  <r>
    <x v="80"/>
    <n v="70000"/>
    <x v="2"/>
    <n v="5347.78"/>
    <x v="1"/>
    <x v="9"/>
    <x v="6"/>
  </r>
  <r>
    <x v="293"/>
    <n v="60000"/>
    <x v="2"/>
    <n v="2692.11"/>
    <x v="0"/>
    <x v="0"/>
    <x v="4"/>
  </r>
  <r>
    <x v="10"/>
    <n v="90000"/>
    <x v="2"/>
    <n v="5801.92"/>
    <x v="1"/>
    <x v="4"/>
    <x v="1"/>
  </r>
  <r>
    <x v="83"/>
    <n v="60000"/>
    <x v="2"/>
    <n v="9696.09"/>
    <x v="1"/>
    <x v="3"/>
    <x v="11"/>
  </r>
  <r>
    <x v="100"/>
    <n v="100000"/>
    <x v="2"/>
    <n v="4833.96"/>
    <x v="1"/>
    <x v="4"/>
    <x v="5"/>
  </r>
  <r>
    <x v="64"/>
    <n v="120000"/>
    <x v="2"/>
    <n v="9993.81"/>
    <x v="0"/>
    <x v="2"/>
    <x v="8"/>
  </r>
  <r>
    <x v="166"/>
    <n v="60000"/>
    <x v="2"/>
    <n v="5767.56"/>
    <x v="0"/>
    <x v="0"/>
    <x v="9"/>
  </r>
  <r>
    <x v="118"/>
    <n v="90000"/>
    <x v="2"/>
    <n v="6231.05"/>
    <x v="1"/>
    <x v="3"/>
    <x v="3"/>
  </r>
  <r>
    <x v="168"/>
    <n v="70000"/>
    <x v="2"/>
    <n v="2442.41"/>
    <x v="0"/>
    <x v="0"/>
    <x v="7"/>
  </r>
  <r>
    <x v="275"/>
    <n v="50000"/>
    <x v="2"/>
    <n v="4402.83"/>
    <x v="1"/>
    <x v="9"/>
    <x v="0"/>
  </r>
  <r>
    <x v="134"/>
    <n v="50000"/>
    <x v="2"/>
    <n v="667.86"/>
    <x v="1"/>
    <x v="9"/>
    <x v="2"/>
  </r>
  <r>
    <x v="213"/>
    <n v="80000"/>
    <x v="2"/>
    <n v="970.87"/>
    <x v="0"/>
    <x v="0"/>
    <x v="0"/>
  </r>
  <r>
    <x v="236"/>
    <n v="30000"/>
    <x v="2"/>
    <n v="9685.16"/>
    <x v="0"/>
    <x v="2"/>
    <x v="8"/>
  </r>
  <r>
    <x v="75"/>
    <n v="60000"/>
    <x v="2"/>
    <n v="3665.65"/>
    <x v="0"/>
    <x v="2"/>
    <x v="5"/>
  </r>
  <r>
    <x v="334"/>
    <n v="60000"/>
    <x v="2"/>
    <n v="545.5"/>
    <x v="1"/>
    <x v="5"/>
    <x v="6"/>
  </r>
  <r>
    <x v="85"/>
    <n v="60000"/>
    <x v="2"/>
    <n v="8233.2000000000007"/>
    <x v="1"/>
    <x v="3"/>
    <x v="6"/>
  </r>
  <r>
    <x v="40"/>
    <n v="30000"/>
    <x v="2"/>
    <n v="9503.16"/>
    <x v="1"/>
    <x v="3"/>
    <x v="9"/>
  </r>
  <r>
    <x v="335"/>
    <n v="60000"/>
    <x v="2"/>
    <n v="3987.09"/>
    <x v="1"/>
    <x v="5"/>
    <x v="8"/>
  </r>
  <r>
    <x v="158"/>
    <n v="70000"/>
    <x v="2"/>
    <n v="1687.55"/>
    <x v="1"/>
    <x v="5"/>
    <x v="1"/>
  </r>
  <r>
    <x v="289"/>
    <n v="70000"/>
    <x v="2"/>
    <n v="6791.62"/>
    <x v="1"/>
    <x v="4"/>
    <x v="5"/>
  </r>
  <r>
    <x v="49"/>
    <n v="60000"/>
    <x v="2"/>
    <n v="4514.78"/>
    <x v="0"/>
    <x v="0"/>
    <x v="4"/>
  </r>
  <r>
    <x v="72"/>
    <n v="80000"/>
    <x v="2"/>
    <n v="5801.04"/>
    <x v="0"/>
    <x v="0"/>
    <x v="8"/>
  </r>
  <r>
    <x v="162"/>
    <n v="80000"/>
    <x v="2"/>
    <n v="3034.68"/>
    <x v="1"/>
    <x v="4"/>
    <x v="10"/>
  </r>
  <r>
    <x v="286"/>
    <n v="40000"/>
    <x v="2"/>
    <n v="2867.43"/>
    <x v="1"/>
    <x v="5"/>
    <x v="9"/>
  </r>
  <r>
    <x v="236"/>
    <n v="80000"/>
    <x v="2"/>
    <n v="1852.36"/>
    <x v="0"/>
    <x v="2"/>
    <x v="8"/>
  </r>
  <r>
    <x v="139"/>
    <n v="110000"/>
    <x v="2"/>
    <n v="6074.91"/>
    <x v="1"/>
    <x v="7"/>
    <x v="1"/>
  </r>
  <r>
    <x v="176"/>
    <n v="40000"/>
    <x v="2"/>
    <n v="2513.52"/>
    <x v="1"/>
    <x v="7"/>
    <x v="2"/>
  </r>
  <r>
    <x v="336"/>
    <n v="130000"/>
    <x v="2"/>
    <n v="9245.9500000000007"/>
    <x v="0"/>
    <x v="8"/>
    <x v="11"/>
  </r>
  <r>
    <x v="257"/>
    <n v="60000"/>
    <x v="2"/>
    <n v="1351.89"/>
    <x v="0"/>
    <x v="2"/>
    <x v="5"/>
  </r>
  <r>
    <x v="263"/>
    <n v="50000"/>
    <x v="2"/>
    <n v="9328.34"/>
    <x v="0"/>
    <x v="0"/>
    <x v="3"/>
  </r>
  <r>
    <x v="29"/>
    <n v="40000"/>
    <x v="2"/>
    <n v="1696.24"/>
    <x v="1"/>
    <x v="7"/>
    <x v="7"/>
  </r>
  <r>
    <x v="262"/>
    <n v="60000"/>
    <x v="2"/>
    <n v="8391.58"/>
    <x v="1"/>
    <x v="5"/>
    <x v="11"/>
  </r>
  <r>
    <x v="34"/>
    <n v="70000"/>
    <x v="2"/>
    <n v="6574.85"/>
    <x v="1"/>
    <x v="3"/>
    <x v="6"/>
  </r>
  <r>
    <x v="66"/>
    <n v="60000"/>
    <x v="2"/>
    <n v="8383.77"/>
    <x v="1"/>
    <x v="5"/>
    <x v="11"/>
  </r>
  <r>
    <x v="36"/>
    <n v="30000"/>
    <x v="2"/>
    <n v="3188.48"/>
    <x v="0"/>
    <x v="1"/>
    <x v="8"/>
  </r>
  <r>
    <x v="91"/>
    <n v="60000"/>
    <x v="2"/>
    <n v="3144.49"/>
    <x v="1"/>
    <x v="7"/>
    <x v="11"/>
  </r>
  <r>
    <x v="29"/>
    <n v="90000"/>
    <x v="2"/>
    <n v="418.94"/>
    <x v="1"/>
    <x v="5"/>
    <x v="7"/>
  </r>
  <r>
    <x v="174"/>
    <n v="150000"/>
    <x v="2"/>
    <n v="6370.94"/>
    <x v="1"/>
    <x v="9"/>
    <x v="10"/>
  </r>
  <r>
    <x v="321"/>
    <n v="80000"/>
    <x v="2"/>
    <n v="6900.46"/>
    <x v="1"/>
    <x v="7"/>
    <x v="4"/>
  </r>
  <r>
    <x v="176"/>
    <n v="60000"/>
    <x v="2"/>
    <n v="4450.01"/>
    <x v="0"/>
    <x v="2"/>
    <x v="2"/>
  </r>
  <r>
    <x v="192"/>
    <n v="70000"/>
    <x v="2"/>
    <n v="6873.51"/>
    <x v="0"/>
    <x v="1"/>
    <x v="1"/>
  </r>
  <r>
    <x v="155"/>
    <n v="60000"/>
    <x v="2"/>
    <n v="4341.6499999999996"/>
    <x v="0"/>
    <x v="0"/>
    <x v="1"/>
  </r>
  <r>
    <x v="125"/>
    <n v="100000"/>
    <x v="2"/>
    <n v="5193.22"/>
    <x v="1"/>
    <x v="4"/>
    <x v="2"/>
  </r>
  <r>
    <x v="81"/>
    <n v="60000"/>
    <x v="2"/>
    <n v="1585.09"/>
    <x v="0"/>
    <x v="6"/>
    <x v="8"/>
  </r>
  <r>
    <x v="290"/>
    <n v="10000"/>
    <x v="0"/>
    <n v="4533.1899999999996"/>
    <x v="1"/>
    <x v="7"/>
    <x v="3"/>
  </r>
  <r>
    <x v="221"/>
    <n v="120000"/>
    <x v="0"/>
    <n v="4168.33"/>
    <x v="0"/>
    <x v="2"/>
    <x v="1"/>
  </r>
  <r>
    <x v="68"/>
    <n v="30000"/>
    <x v="1"/>
    <n v="1082.1600000000001"/>
    <x v="0"/>
    <x v="0"/>
    <x v="5"/>
  </r>
  <r>
    <x v="16"/>
    <n v="90000"/>
    <x v="1"/>
    <n v="7425.44"/>
    <x v="0"/>
    <x v="6"/>
    <x v="0"/>
  </r>
  <r>
    <x v="35"/>
    <n v="170000"/>
    <x v="0"/>
    <n v="691.63"/>
    <x v="1"/>
    <x v="7"/>
    <x v="1"/>
  </r>
  <r>
    <x v="322"/>
    <n v="40000"/>
    <x v="0"/>
    <n v="5270.66"/>
    <x v="0"/>
    <x v="1"/>
    <x v="10"/>
  </r>
  <r>
    <x v="298"/>
    <n v="60000"/>
    <x v="1"/>
    <n v="9537.9599999999991"/>
    <x v="1"/>
    <x v="7"/>
    <x v="9"/>
  </r>
  <r>
    <x v="270"/>
    <n v="10000"/>
    <x v="0"/>
    <n v="5912.08"/>
    <x v="0"/>
    <x v="0"/>
    <x v="7"/>
  </r>
  <r>
    <x v="310"/>
    <n v="30000"/>
    <x v="1"/>
    <n v="2390.48"/>
    <x v="0"/>
    <x v="8"/>
    <x v="0"/>
  </r>
  <r>
    <x v="47"/>
    <n v="30000"/>
    <x v="0"/>
    <n v="2650.11"/>
    <x v="0"/>
    <x v="6"/>
    <x v="6"/>
  </r>
  <r>
    <x v="218"/>
    <n v="40000"/>
    <x v="0"/>
    <n v="4080.21"/>
    <x v="0"/>
    <x v="1"/>
    <x v="10"/>
  </r>
  <r>
    <x v="107"/>
    <n v="20000"/>
    <x v="1"/>
    <n v="4303.92"/>
    <x v="0"/>
    <x v="2"/>
    <x v="7"/>
  </r>
  <r>
    <x v="123"/>
    <n v="40000"/>
    <x v="0"/>
    <n v="8184.76"/>
    <x v="1"/>
    <x v="4"/>
    <x v="2"/>
  </r>
  <r>
    <x v="233"/>
    <n v="80000"/>
    <x v="1"/>
    <n v="1473.76"/>
    <x v="1"/>
    <x v="7"/>
    <x v="3"/>
  </r>
  <r>
    <x v="327"/>
    <n v="40000"/>
    <x v="0"/>
    <n v="5217.05"/>
    <x v="1"/>
    <x v="9"/>
    <x v="5"/>
  </r>
  <r>
    <x v="335"/>
    <n v="80000"/>
    <x v="0"/>
    <n v="3284.35"/>
    <x v="1"/>
    <x v="4"/>
    <x v="8"/>
  </r>
  <r>
    <x v="224"/>
    <n v="40000"/>
    <x v="0"/>
    <n v="9109.7900000000009"/>
    <x v="0"/>
    <x v="6"/>
    <x v="9"/>
  </r>
  <r>
    <x v="227"/>
    <n v="30000"/>
    <x v="0"/>
    <n v="2877.45"/>
    <x v="0"/>
    <x v="6"/>
    <x v="2"/>
  </r>
  <r>
    <x v="314"/>
    <n v="30000"/>
    <x v="0"/>
    <n v="8300.19"/>
    <x v="0"/>
    <x v="0"/>
    <x v="11"/>
  </r>
  <r>
    <x v="66"/>
    <n v="100000"/>
    <x v="1"/>
    <n v="8938.2199999999993"/>
    <x v="0"/>
    <x v="0"/>
    <x v="11"/>
  </r>
  <r>
    <x v="201"/>
    <n v="70000"/>
    <x v="1"/>
    <n v="4397.3599999999997"/>
    <x v="1"/>
    <x v="5"/>
    <x v="4"/>
  </r>
  <r>
    <x v="310"/>
    <n v="20000"/>
    <x v="0"/>
    <n v="5534.33"/>
    <x v="1"/>
    <x v="7"/>
    <x v="0"/>
  </r>
  <r>
    <x v="56"/>
    <n v="20000"/>
    <x v="0"/>
    <n v="8735.4500000000007"/>
    <x v="1"/>
    <x v="3"/>
    <x v="1"/>
  </r>
  <r>
    <x v="337"/>
    <n v="10000"/>
    <x v="1"/>
    <n v="7402.9"/>
    <x v="0"/>
    <x v="8"/>
    <x v="7"/>
  </r>
  <r>
    <x v="245"/>
    <n v="20000"/>
    <x v="0"/>
    <n v="8745.0499999999993"/>
    <x v="1"/>
    <x v="5"/>
    <x v="0"/>
  </r>
  <r>
    <x v="296"/>
    <n v="80000"/>
    <x v="1"/>
    <n v="1659.04"/>
    <x v="1"/>
    <x v="5"/>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ADBB04A-F6EB-488C-A134-0DD9E83222E2}"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5">
  <location ref="A2:B15" firstHeaderRow="1" firstDataRow="1" firstDataCol="1"/>
  <pivotFields count="7">
    <pivotField numFmtId="22" showAll="0"/>
    <pivotField showAll="0"/>
    <pivotField showAll="0">
      <items count="4">
        <item x="0"/>
        <item x="2"/>
        <item x="1"/>
        <item t="default"/>
      </items>
    </pivotField>
    <pivotField dataField="1" showAll="0"/>
    <pivotField axis="axisRow" showAll="0">
      <items count="3">
        <item x="0"/>
        <item x="1"/>
        <item t="default"/>
      </items>
    </pivotField>
    <pivotField axis="axisRow" showAll="0">
      <items count="11">
        <item x="3"/>
        <item x="9"/>
        <item x="1"/>
        <item x="2"/>
        <item x="0"/>
        <item x="5"/>
        <item x="8"/>
        <item x="4"/>
        <item x="6"/>
        <item x="7"/>
        <item t="default"/>
      </items>
    </pivotField>
    <pivotField showAll="0">
      <items count="13">
        <item x="3"/>
        <item x="6"/>
        <item x="1"/>
        <item x="10"/>
        <item x="2"/>
        <item x="5"/>
        <item x="9"/>
        <item x="4"/>
        <item x="7"/>
        <item x="8"/>
        <item x="11"/>
        <item x="0"/>
        <item t="default"/>
      </items>
    </pivotField>
  </pivotFields>
  <rowFields count="2">
    <field x="4"/>
    <field x="5"/>
  </rowFields>
  <rowItems count="13">
    <i>
      <x/>
    </i>
    <i r="1">
      <x v="2"/>
    </i>
    <i r="1">
      <x v="3"/>
    </i>
    <i r="1">
      <x v="4"/>
    </i>
    <i r="1">
      <x v="6"/>
    </i>
    <i r="1">
      <x v="8"/>
    </i>
    <i>
      <x v="1"/>
    </i>
    <i r="1">
      <x/>
    </i>
    <i r="1">
      <x v="1"/>
    </i>
    <i r="1">
      <x v="5"/>
    </i>
    <i r="1">
      <x v="7"/>
    </i>
    <i r="1">
      <x v="9"/>
    </i>
    <i t="grand">
      <x/>
    </i>
  </rowItems>
  <colItems count="1">
    <i/>
  </colItems>
  <dataFields count="1">
    <dataField name="Sum of Sales" fld="3" baseField="0" baseItem="0" numFmtId="2"/>
  </dataFields>
  <formats count="27">
    <format dxfId="26">
      <pivotArea type="all" dataOnly="0" outline="0" fieldPosition="0"/>
    </format>
    <format dxfId="25">
      <pivotArea outline="0" collapsedLevelsAreSubtotals="1" fieldPosition="0"/>
    </format>
    <format dxfId="24">
      <pivotArea field="4" type="button" dataOnly="0" labelOnly="1" outline="0" axis="axisRow" fieldPosition="0"/>
    </format>
    <format dxfId="23">
      <pivotArea dataOnly="0" labelOnly="1" fieldPosition="0">
        <references count="1">
          <reference field="4" count="0"/>
        </references>
      </pivotArea>
    </format>
    <format dxfId="22">
      <pivotArea dataOnly="0" labelOnly="1" grandRow="1" outline="0" fieldPosition="0"/>
    </format>
    <format dxfId="21">
      <pivotArea dataOnly="0" labelOnly="1" fieldPosition="0">
        <references count="2">
          <reference field="4" count="1" selected="0">
            <x v="0"/>
          </reference>
          <reference field="5" count="5">
            <x v="2"/>
            <x v="3"/>
            <x v="4"/>
            <x v="6"/>
            <x v="8"/>
          </reference>
        </references>
      </pivotArea>
    </format>
    <format dxfId="20">
      <pivotArea dataOnly="0" labelOnly="1" fieldPosition="0">
        <references count="2">
          <reference field="4" count="1" selected="0">
            <x v="1"/>
          </reference>
          <reference field="5" count="5">
            <x v="0"/>
            <x v="1"/>
            <x v="5"/>
            <x v="7"/>
            <x v="9"/>
          </reference>
        </references>
      </pivotArea>
    </format>
    <format dxfId="19">
      <pivotArea dataOnly="0" labelOnly="1" outline="0" axis="axisValues" fieldPosition="0"/>
    </format>
    <format dxfId="18">
      <pivotArea type="all" dataOnly="0" outline="0" fieldPosition="0"/>
    </format>
    <format dxfId="17">
      <pivotArea outline="0" collapsedLevelsAreSubtotals="1" fieldPosition="0"/>
    </format>
    <format dxfId="16">
      <pivotArea field="4" type="button" dataOnly="0" labelOnly="1" outline="0" axis="axisRow" fieldPosition="0"/>
    </format>
    <format dxfId="15">
      <pivotArea dataOnly="0" labelOnly="1" fieldPosition="0">
        <references count="1">
          <reference field="4" count="0"/>
        </references>
      </pivotArea>
    </format>
    <format dxfId="14">
      <pivotArea dataOnly="0" labelOnly="1" grandRow="1" outline="0" fieldPosition="0"/>
    </format>
    <format dxfId="13">
      <pivotArea dataOnly="0" labelOnly="1" fieldPosition="0">
        <references count="2">
          <reference field="4" count="1" selected="0">
            <x v="0"/>
          </reference>
          <reference field="5" count="5">
            <x v="2"/>
            <x v="3"/>
            <x v="4"/>
            <x v="6"/>
            <x v="8"/>
          </reference>
        </references>
      </pivotArea>
    </format>
    <format dxfId="12">
      <pivotArea dataOnly="0" labelOnly="1" fieldPosition="0">
        <references count="2">
          <reference field="4" count="1" selected="0">
            <x v="1"/>
          </reference>
          <reference field="5" count="5">
            <x v="0"/>
            <x v="1"/>
            <x v="5"/>
            <x v="7"/>
            <x v="9"/>
          </reference>
        </references>
      </pivotArea>
    </format>
    <format dxfId="11">
      <pivotArea dataOnly="0" labelOnly="1" outline="0" axis="axisValues" fieldPosition="0"/>
    </format>
    <format dxfId="10">
      <pivotArea field="4" type="button" dataOnly="0" labelOnly="1" outline="0" axis="axisRow" fieldPosition="0"/>
    </format>
    <format dxfId="9">
      <pivotArea dataOnly="0" labelOnly="1" outline="0" axis="axisValues" fieldPosition="0"/>
    </format>
    <format dxfId="8">
      <pivotArea dataOnly="0" fieldPosition="0">
        <references count="1">
          <reference field="4" count="1">
            <x v="0"/>
          </reference>
        </references>
      </pivotArea>
    </format>
    <format dxfId="7">
      <pivotArea collapsedLevelsAreSubtotals="1" fieldPosition="0">
        <references count="2">
          <reference field="4" count="1" selected="0">
            <x v="0"/>
          </reference>
          <reference field="5" count="5">
            <x v="2"/>
            <x v="3"/>
            <x v="4"/>
            <x v="6"/>
            <x v="8"/>
          </reference>
        </references>
      </pivotArea>
    </format>
    <format dxfId="6">
      <pivotArea collapsedLevelsAreSubtotals="1" fieldPosition="0">
        <references count="1">
          <reference field="4" count="1">
            <x v="1"/>
          </reference>
        </references>
      </pivotArea>
    </format>
    <format dxfId="5">
      <pivotArea collapsedLevelsAreSubtotals="1" fieldPosition="0">
        <references count="2">
          <reference field="4" count="1" selected="0">
            <x v="1"/>
          </reference>
          <reference field="5" count="5">
            <x v="0"/>
            <x v="1"/>
            <x v="5"/>
            <x v="7"/>
            <x v="9"/>
          </reference>
        </references>
      </pivotArea>
    </format>
    <format dxfId="4">
      <pivotArea grandRow="1" outline="0" collapsedLevelsAreSubtotals="1" fieldPosition="0"/>
    </format>
    <format dxfId="3">
      <pivotArea dataOnly="0" labelOnly="1" fieldPosition="0">
        <references count="1">
          <reference field="4" count="1">
            <x v="1"/>
          </reference>
        </references>
      </pivotArea>
    </format>
    <format dxfId="2">
      <pivotArea dataOnly="0" labelOnly="1" grandRow="1" outline="0" fieldPosition="0"/>
    </format>
    <format dxfId="1">
      <pivotArea dataOnly="0" labelOnly="1" fieldPosition="0">
        <references count="2">
          <reference field="4" count="1" selected="0">
            <x v="0"/>
          </reference>
          <reference field="5" count="5">
            <x v="2"/>
            <x v="3"/>
            <x v="4"/>
            <x v="6"/>
            <x v="8"/>
          </reference>
        </references>
      </pivotArea>
    </format>
    <format dxfId="0">
      <pivotArea dataOnly="0" labelOnly="1" fieldPosition="0">
        <references count="2">
          <reference field="4" count="1" selected="0">
            <x v="1"/>
          </reference>
          <reference field="5" count="5">
            <x v="0"/>
            <x v="1"/>
            <x v="5"/>
            <x v="7"/>
            <x v="9"/>
          </reference>
        </references>
      </pivotArea>
    </format>
  </formats>
  <chartFormats count="36">
    <chartFormat chart="10" format="0" series="1">
      <pivotArea type="data" outline="0" fieldPosition="0">
        <references count="1">
          <reference field="4294967294" count="1" selected="0">
            <x v="0"/>
          </reference>
        </references>
      </pivotArea>
    </chartFormat>
    <chartFormat chart="10" format="1">
      <pivotArea type="data" outline="0" fieldPosition="0">
        <references count="3">
          <reference field="4294967294" count="1" selected="0">
            <x v="0"/>
          </reference>
          <reference field="4" count="1" selected="0">
            <x v="0"/>
          </reference>
          <reference field="5" count="1" selected="0">
            <x v="3"/>
          </reference>
        </references>
      </pivotArea>
    </chartFormat>
    <chartFormat chart="10" format="2">
      <pivotArea type="data" outline="0" fieldPosition="0">
        <references count="3">
          <reference field="4294967294" count="1" selected="0">
            <x v="0"/>
          </reference>
          <reference field="4" count="1" selected="0">
            <x v="0"/>
          </reference>
          <reference field="5" count="1" selected="0">
            <x v="6"/>
          </reference>
        </references>
      </pivotArea>
    </chartFormat>
    <chartFormat chart="10" format="3">
      <pivotArea type="data" outline="0" fieldPosition="0">
        <references count="3">
          <reference field="4294967294" count="1" selected="0">
            <x v="0"/>
          </reference>
          <reference field="4" count="1" selected="0">
            <x v="0"/>
          </reference>
          <reference field="5" count="1" selected="0">
            <x v="8"/>
          </reference>
        </references>
      </pivotArea>
    </chartFormat>
    <chartFormat chart="10" format="4">
      <pivotArea type="data" outline="0" fieldPosition="0">
        <references count="3">
          <reference field="4294967294" count="1" selected="0">
            <x v="0"/>
          </reference>
          <reference field="4" count="1" selected="0">
            <x v="0"/>
          </reference>
          <reference field="5" count="1" selected="0">
            <x v="4"/>
          </reference>
        </references>
      </pivotArea>
    </chartFormat>
    <chartFormat chart="10" format="5">
      <pivotArea type="data" outline="0" fieldPosition="0">
        <references count="3">
          <reference field="4294967294" count="1" selected="0">
            <x v="0"/>
          </reference>
          <reference field="4" count="1" selected="0">
            <x v="1"/>
          </reference>
          <reference field="5" count="1" selected="0">
            <x v="5"/>
          </reference>
        </references>
      </pivotArea>
    </chartFormat>
    <chartFormat chart="10" format="6">
      <pivotArea type="data" outline="0" fieldPosition="0">
        <references count="3">
          <reference field="4294967294" count="1" selected="0">
            <x v="0"/>
          </reference>
          <reference field="4" count="1" selected="0">
            <x v="1"/>
          </reference>
          <reference field="5" count="1" selected="0">
            <x v="7"/>
          </reference>
        </references>
      </pivotArea>
    </chartFormat>
    <chartFormat chart="10" format="7">
      <pivotArea type="data" outline="0" fieldPosition="0">
        <references count="3">
          <reference field="4294967294" count="1" selected="0">
            <x v="0"/>
          </reference>
          <reference field="4" count="1" selected="0">
            <x v="1"/>
          </reference>
          <reference field="5" count="1" selected="0">
            <x v="9"/>
          </reference>
        </references>
      </pivotArea>
    </chartFormat>
    <chartFormat chart="10" format="8">
      <pivotArea type="data" outline="0" fieldPosition="0">
        <references count="3">
          <reference field="4294967294" count="1" selected="0">
            <x v="0"/>
          </reference>
          <reference field="4" count="1" selected="0">
            <x v="1"/>
          </reference>
          <reference field="5" count="1" selected="0">
            <x v="0"/>
          </reference>
        </references>
      </pivotArea>
    </chartFormat>
    <chartFormat chart="17" format="9" series="1">
      <pivotArea type="data" outline="0" fieldPosition="0">
        <references count="1">
          <reference field="4294967294" count="1" selected="0">
            <x v="0"/>
          </reference>
        </references>
      </pivotArea>
    </chartFormat>
    <chartFormat chart="17" format="10">
      <pivotArea type="data" outline="0" fieldPosition="0">
        <references count="3">
          <reference field="4294967294" count="1" selected="0">
            <x v="0"/>
          </reference>
          <reference field="4" count="1" selected="0">
            <x v="0"/>
          </reference>
          <reference field="5" count="1" selected="0">
            <x v="3"/>
          </reference>
        </references>
      </pivotArea>
    </chartFormat>
    <chartFormat chart="17" format="11">
      <pivotArea type="data" outline="0" fieldPosition="0">
        <references count="3">
          <reference field="4294967294" count="1" selected="0">
            <x v="0"/>
          </reference>
          <reference field="4" count="1" selected="0">
            <x v="0"/>
          </reference>
          <reference field="5" count="1" selected="0">
            <x v="6"/>
          </reference>
        </references>
      </pivotArea>
    </chartFormat>
    <chartFormat chart="17" format="12">
      <pivotArea type="data" outline="0" fieldPosition="0">
        <references count="3">
          <reference field="4294967294" count="1" selected="0">
            <x v="0"/>
          </reference>
          <reference field="4" count="1" selected="0">
            <x v="0"/>
          </reference>
          <reference field="5" count="1" selected="0">
            <x v="8"/>
          </reference>
        </references>
      </pivotArea>
    </chartFormat>
    <chartFormat chart="17" format="13">
      <pivotArea type="data" outline="0" fieldPosition="0">
        <references count="3">
          <reference field="4294967294" count="1" selected="0">
            <x v="0"/>
          </reference>
          <reference field="4" count="1" selected="0">
            <x v="1"/>
          </reference>
          <reference field="5" count="1" selected="0">
            <x v="0"/>
          </reference>
        </references>
      </pivotArea>
    </chartFormat>
    <chartFormat chart="17" format="14">
      <pivotArea type="data" outline="0" fieldPosition="0">
        <references count="3">
          <reference field="4294967294" count="1" selected="0">
            <x v="0"/>
          </reference>
          <reference field="4" count="1" selected="0">
            <x v="1"/>
          </reference>
          <reference field="5" count="1" selected="0">
            <x v="5"/>
          </reference>
        </references>
      </pivotArea>
    </chartFormat>
    <chartFormat chart="17" format="15">
      <pivotArea type="data" outline="0" fieldPosition="0">
        <references count="3">
          <reference field="4294967294" count="1" selected="0">
            <x v="0"/>
          </reference>
          <reference field="4" count="1" selected="0">
            <x v="1"/>
          </reference>
          <reference field="5" count="1" selected="0">
            <x v="7"/>
          </reference>
        </references>
      </pivotArea>
    </chartFormat>
    <chartFormat chart="17" format="16">
      <pivotArea type="data" outline="0" fieldPosition="0">
        <references count="3">
          <reference field="4294967294" count="1" selected="0">
            <x v="0"/>
          </reference>
          <reference field="4" count="1" selected="0">
            <x v="1"/>
          </reference>
          <reference field="5" count="1" selected="0">
            <x v="9"/>
          </reference>
        </references>
      </pivotArea>
    </chartFormat>
    <chartFormat chart="18" format="17" series="1">
      <pivotArea type="data" outline="0" fieldPosition="0">
        <references count="1">
          <reference field="4294967294" count="1" selected="0">
            <x v="0"/>
          </reference>
        </references>
      </pivotArea>
    </chartFormat>
    <chartFormat chart="18" format="18">
      <pivotArea type="data" outline="0" fieldPosition="0">
        <references count="3">
          <reference field="4294967294" count="1" selected="0">
            <x v="0"/>
          </reference>
          <reference field="4" count="1" selected="0">
            <x v="0"/>
          </reference>
          <reference field="5" count="1" selected="0">
            <x v="3"/>
          </reference>
        </references>
      </pivotArea>
    </chartFormat>
    <chartFormat chart="18" format="19">
      <pivotArea type="data" outline="0" fieldPosition="0">
        <references count="3">
          <reference field="4294967294" count="1" selected="0">
            <x v="0"/>
          </reference>
          <reference field="4" count="1" selected="0">
            <x v="0"/>
          </reference>
          <reference field="5" count="1" selected="0">
            <x v="6"/>
          </reference>
        </references>
      </pivotArea>
    </chartFormat>
    <chartFormat chart="18" format="20">
      <pivotArea type="data" outline="0" fieldPosition="0">
        <references count="3">
          <reference field="4294967294" count="1" selected="0">
            <x v="0"/>
          </reference>
          <reference field="4" count="1" selected="0">
            <x v="0"/>
          </reference>
          <reference field="5" count="1" selected="0">
            <x v="8"/>
          </reference>
        </references>
      </pivotArea>
    </chartFormat>
    <chartFormat chart="18" format="21">
      <pivotArea type="data" outline="0" fieldPosition="0">
        <references count="3">
          <reference field="4294967294" count="1" selected="0">
            <x v="0"/>
          </reference>
          <reference field="4" count="1" selected="0">
            <x v="1"/>
          </reference>
          <reference field="5" count="1" selected="0">
            <x v="0"/>
          </reference>
        </references>
      </pivotArea>
    </chartFormat>
    <chartFormat chart="18" format="22">
      <pivotArea type="data" outline="0" fieldPosition="0">
        <references count="3">
          <reference field="4294967294" count="1" selected="0">
            <x v="0"/>
          </reference>
          <reference field="4" count="1" selected="0">
            <x v="1"/>
          </reference>
          <reference field="5" count="1" selected="0">
            <x v="5"/>
          </reference>
        </references>
      </pivotArea>
    </chartFormat>
    <chartFormat chart="18" format="23">
      <pivotArea type="data" outline="0" fieldPosition="0">
        <references count="3">
          <reference field="4294967294" count="1" selected="0">
            <x v="0"/>
          </reference>
          <reference field="4" count="1" selected="0">
            <x v="1"/>
          </reference>
          <reference field="5" count="1" selected="0">
            <x v="7"/>
          </reference>
        </references>
      </pivotArea>
    </chartFormat>
    <chartFormat chart="18" format="24">
      <pivotArea type="data" outline="0" fieldPosition="0">
        <references count="3">
          <reference field="4294967294" count="1" selected="0">
            <x v="0"/>
          </reference>
          <reference field="4" count="1" selected="0">
            <x v="1"/>
          </reference>
          <reference field="5" count="1" selected="0">
            <x v="9"/>
          </reference>
        </references>
      </pivotArea>
    </chartFormat>
    <chartFormat chart="22" format="12" series="1">
      <pivotArea type="data" outline="0" fieldPosition="0">
        <references count="1">
          <reference field="4294967294" count="1" selected="0">
            <x v="0"/>
          </reference>
        </references>
      </pivotArea>
    </chartFormat>
    <chartFormat chart="22" format="13">
      <pivotArea type="data" outline="0" fieldPosition="0">
        <references count="3">
          <reference field="4294967294" count="1" selected="0">
            <x v="0"/>
          </reference>
          <reference field="4" count="1" selected="0">
            <x v="0"/>
          </reference>
          <reference field="5" count="1" selected="0">
            <x v="2"/>
          </reference>
        </references>
      </pivotArea>
    </chartFormat>
    <chartFormat chart="22" format="14">
      <pivotArea type="data" outline="0" fieldPosition="0">
        <references count="3">
          <reference field="4294967294" count="1" selected="0">
            <x v="0"/>
          </reference>
          <reference field="4" count="1" selected="0">
            <x v="0"/>
          </reference>
          <reference field="5" count="1" selected="0">
            <x v="3"/>
          </reference>
        </references>
      </pivotArea>
    </chartFormat>
    <chartFormat chart="22" format="15">
      <pivotArea type="data" outline="0" fieldPosition="0">
        <references count="3">
          <reference field="4294967294" count="1" selected="0">
            <x v="0"/>
          </reference>
          <reference field="4" count="1" selected="0">
            <x v="0"/>
          </reference>
          <reference field="5" count="1" selected="0">
            <x v="4"/>
          </reference>
        </references>
      </pivotArea>
    </chartFormat>
    <chartFormat chart="22" format="16">
      <pivotArea type="data" outline="0" fieldPosition="0">
        <references count="3">
          <reference field="4294967294" count="1" selected="0">
            <x v="0"/>
          </reference>
          <reference field="4" count="1" selected="0">
            <x v="0"/>
          </reference>
          <reference field="5" count="1" selected="0">
            <x v="6"/>
          </reference>
        </references>
      </pivotArea>
    </chartFormat>
    <chartFormat chart="22" format="17">
      <pivotArea type="data" outline="0" fieldPosition="0">
        <references count="3">
          <reference field="4294967294" count="1" selected="0">
            <x v="0"/>
          </reference>
          <reference field="4" count="1" selected="0">
            <x v="0"/>
          </reference>
          <reference field="5" count="1" selected="0">
            <x v="8"/>
          </reference>
        </references>
      </pivotArea>
    </chartFormat>
    <chartFormat chart="22" format="18">
      <pivotArea type="data" outline="0" fieldPosition="0">
        <references count="3">
          <reference field="4294967294" count="1" selected="0">
            <x v="0"/>
          </reference>
          <reference field="4" count="1" selected="0">
            <x v="1"/>
          </reference>
          <reference field="5" count="1" selected="0">
            <x v="0"/>
          </reference>
        </references>
      </pivotArea>
    </chartFormat>
    <chartFormat chart="22" format="19">
      <pivotArea type="data" outline="0" fieldPosition="0">
        <references count="3">
          <reference field="4294967294" count="1" selected="0">
            <x v="0"/>
          </reference>
          <reference field="4" count="1" selected="0">
            <x v="1"/>
          </reference>
          <reference field="5" count="1" selected="0">
            <x v="1"/>
          </reference>
        </references>
      </pivotArea>
    </chartFormat>
    <chartFormat chart="22" format="20">
      <pivotArea type="data" outline="0" fieldPosition="0">
        <references count="3">
          <reference field="4294967294" count="1" selected="0">
            <x v="0"/>
          </reference>
          <reference field="4" count="1" selected="0">
            <x v="1"/>
          </reference>
          <reference field="5" count="1" selected="0">
            <x v="5"/>
          </reference>
        </references>
      </pivotArea>
    </chartFormat>
    <chartFormat chart="22" format="21">
      <pivotArea type="data" outline="0" fieldPosition="0">
        <references count="3">
          <reference field="4294967294" count="1" selected="0">
            <x v="0"/>
          </reference>
          <reference field="4" count="1" selected="0">
            <x v="1"/>
          </reference>
          <reference field="5" count="1" selected="0">
            <x v="7"/>
          </reference>
        </references>
      </pivotArea>
    </chartFormat>
    <chartFormat chart="22" format="22">
      <pivotArea type="data" outline="0" fieldPosition="0">
        <references count="3">
          <reference field="4294967294" count="1" selected="0">
            <x v="0"/>
          </reference>
          <reference field="4" count="1" selected="0">
            <x v="1"/>
          </reference>
          <reference field="5"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1C6252A-42C3-467C-A023-B29737E276C8}"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A35:B48" firstHeaderRow="1" firstDataRow="1" firstDataCol="1"/>
  <pivotFields count="7">
    <pivotField numFmtId="22" showAll="0">
      <items count="339">
        <item x="230"/>
        <item x="276"/>
        <item x="5"/>
        <item x="263"/>
        <item x="76"/>
        <item x="127"/>
        <item x="252"/>
        <item x="290"/>
        <item x="151"/>
        <item x="146"/>
        <item x="233"/>
        <item x="27"/>
        <item x="210"/>
        <item x="44"/>
        <item x="244"/>
        <item x="147"/>
        <item x="84"/>
        <item x="54"/>
        <item x="269"/>
        <item x="90"/>
        <item x="103"/>
        <item x="271"/>
        <item x="220"/>
        <item x="277"/>
        <item x="82"/>
        <item x="144"/>
        <item x="291"/>
        <item x="332"/>
        <item x="118"/>
        <item x="149"/>
        <item x="122"/>
        <item x="111"/>
        <item x="137"/>
        <item x="85"/>
        <item x="249"/>
        <item x="241"/>
        <item x="34"/>
        <item x="207"/>
        <item x="297"/>
        <item x="95"/>
        <item x="33"/>
        <item x="24"/>
        <item x="182"/>
        <item x="47"/>
        <item x="9"/>
        <item x="94"/>
        <item x="226"/>
        <item x="231"/>
        <item x="130"/>
        <item x="172"/>
        <item x="164"/>
        <item x="109"/>
        <item x="334"/>
        <item x="128"/>
        <item x="80"/>
        <item x="121"/>
        <item x="202"/>
        <item x="177"/>
        <item x="1"/>
        <item x="216"/>
        <item x="10"/>
        <item x="136"/>
        <item x="69"/>
        <item x="173"/>
        <item x="326"/>
        <item x="280"/>
        <item x="153"/>
        <item x="268"/>
        <item x="155"/>
        <item x="7"/>
        <item x="158"/>
        <item x="18"/>
        <item x="156"/>
        <item x="35"/>
        <item x="316"/>
        <item x="228"/>
        <item x="154"/>
        <item x="56"/>
        <item x="221"/>
        <item x="192"/>
        <item x="167"/>
        <item x="273"/>
        <item x="279"/>
        <item x="139"/>
        <item x="4"/>
        <item x="215"/>
        <item x="51"/>
        <item x="218"/>
        <item x="238"/>
        <item x="150"/>
        <item x="31"/>
        <item x="162"/>
        <item x="183"/>
        <item x="212"/>
        <item x="17"/>
        <item x="115"/>
        <item x="53"/>
        <item x="48"/>
        <item x="294"/>
        <item x="250"/>
        <item x="39"/>
        <item x="243"/>
        <item x="199"/>
        <item x="77"/>
        <item x="232"/>
        <item x="190"/>
        <item x="322"/>
        <item x="132"/>
        <item x="174"/>
        <item x="258"/>
        <item x="309"/>
        <item x="317"/>
        <item x="247"/>
        <item x="61"/>
        <item x="142"/>
        <item x="26"/>
        <item x="259"/>
        <item x="28"/>
        <item x="88"/>
        <item x="180"/>
        <item x="222"/>
        <item x="3"/>
        <item x="176"/>
        <item x="145"/>
        <item x="214"/>
        <item x="133"/>
        <item x="235"/>
        <item x="333"/>
        <item x="227"/>
        <item x="38"/>
        <item x="135"/>
        <item x="134"/>
        <item x="123"/>
        <item x="187"/>
        <item x="79"/>
        <item x="208"/>
        <item x="219"/>
        <item x="125"/>
        <item x="285"/>
        <item x="98"/>
        <item x="114"/>
        <item x="196"/>
        <item x="225"/>
        <item x="87"/>
        <item x="186"/>
        <item x="104"/>
        <item x="152"/>
        <item x="328"/>
        <item x="257"/>
        <item x="148"/>
        <item x="330"/>
        <item x="55"/>
        <item x="13"/>
        <item x="93"/>
        <item x="287"/>
        <item x="59"/>
        <item x="75"/>
        <item x="100"/>
        <item x="131"/>
        <item x="327"/>
        <item x="110"/>
        <item x="278"/>
        <item x="211"/>
        <item x="159"/>
        <item x="68"/>
        <item x="161"/>
        <item x="264"/>
        <item x="8"/>
        <item x="289"/>
        <item x="320"/>
        <item x="266"/>
        <item x="78"/>
        <item x="166"/>
        <item x="42"/>
        <item x="71"/>
        <item x="318"/>
        <item x="282"/>
        <item x="302"/>
        <item x="171"/>
        <item x="217"/>
        <item x="15"/>
        <item x="40"/>
        <item x="60"/>
        <item x="325"/>
        <item x="254"/>
        <item x="286"/>
        <item x="117"/>
        <item x="30"/>
        <item x="298"/>
        <item x="67"/>
        <item x="169"/>
        <item x="157"/>
        <item x="224"/>
        <item x="45"/>
        <item x="105"/>
        <item x="281"/>
        <item x="189"/>
        <item x="32"/>
        <item x="184"/>
        <item x="293"/>
        <item x="307"/>
        <item x="305"/>
        <item x="272"/>
        <item x="21"/>
        <item x="201"/>
        <item x="129"/>
        <item x="261"/>
        <item x="203"/>
        <item x="11"/>
        <item x="116"/>
        <item x="124"/>
        <item x="255"/>
        <item x="49"/>
        <item x="6"/>
        <item x="295"/>
        <item x="296"/>
        <item x="265"/>
        <item x="304"/>
        <item x="102"/>
        <item x="312"/>
        <item x="23"/>
        <item x="311"/>
        <item x="321"/>
        <item x="163"/>
        <item x="86"/>
        <item x="240"/>
        <item x="178"/>
        <item x="270"/>
        <item x="175"/>
        <item x="168"/>
        <item x="12"/>
        <item x="323"/>
        <item x="73"/>
        <item x="206"/>
        <item x="112"/>
        <item x="191"/>
        <item x="119"/>
        <item x="337"/>
        <item x="185"/>
        <item x="160"/>
        <item x="324"/>
        <item x="101"/>
        <item x="50"/>
        <item x="29"/>
        <item x="22"/>
        <item x="283"/>
        <item x="306"/>
        <item x="107"/>
        <item x="195"/>
        <item x="198"/>
        <item x="194"/>
        <item x="108"/>
        <item x="62"/>
        <item x="329"/>
        <item x="63"/>
        <item x="236"/>
        <item x="319"/>
        <item x="97"/>
        <item x="65"/>
        <item x="41"/>
        <item x="292"/>
        <item x="300"/>
        <item x="188"/>
        <item x="36"/>
        <item x="89"/>
        <item x="58"/>
        <item x="25"/>
        <item x="170"/>
        <item x="126"/>
        <item x="64"/>
        <item x="81"/>
        <item x="143"/>
        <item x="209"/>
        <item x="299"/>
        <item x="72"/>
        <item x="242"/>
        <item x="14"/>
        <item x="335"/>
        <item x="57"/>
        <item x="113"/>
        <item x="179"/>
        <item x="267"/>
        <item x="301"/>
        <item x="19"/>
        <item x="262"/>
        <item x="331"/>
        <item x="138"/>
        <item x="83"/>
        <item x="205"/>
        <item x="336"/>
        <item x="91"/>
        <item x="106"/>
        <item x="284"/>
        <item x="92"/>
        <item x="314"/>
        <item x="181"/>
        <item x="193"/>
        <item x="253"/>
        <item x="99"/>
        <item x="246"/>
        <item x="120"/>
        <item x="46"/>
        <item x="140"/>
        <item x="303"/>
        <item x="52"/>
        <item x="313"/>
        <item x="274"/>
        <item x="204"/>
        <item x="223"/>
        <item x="66"/>
        <item x="197"/>
        <item x="288"/>
        <item x="43"/>
        <item x="229"/>
        <item x="248"/>
        <item x="234"/>
        <item x="70"/>
        <item x="275"/>
        <item x="213"/>
        <item x="308"/>
        <item x="310"/>
        <item x="260"/>
        <item x="0"/>
        <item x="74"/>
        <item x="20"/>
        <item x="16"/>
        <item x="315"/>
        <item x="256"/>
        <item x="141"/>
        <item x="245"/>
        <item x="237"/>
        <item x="239"/>
        <item x="96"/>
        <item x="2"/>
        <item x="251"/>
        <item x="37"/>
        <item x="200"/>
        <item x="165"/>
        <item t="default"/>
      </items>
    </pivotField>
    <pivotField showAll="0"/>
    <pivotField showAll="0">
      <items count="4">
        <item x="0"/>
        <item x="2"/>
        <item x="1"/>
        <item t="default"/>
      </items>
    </pivotField>
    <pivotField dataField="1" showAll="0"/>
    <pivotField showAll="0">
      <items count="3">
        <item x="0"/>
        <item x="1"/>
        <item t="default"/>
      </items>
    </pivotField>
    <pivotField showAll="0"/>
    <pivotField axis="axisRow" showAll="0">
      <items count="13">
        <item x="3"/>
        <item x="6"/>
        <item x="1"/>
        <item x="10"/>
        <item x="2"/>
        <item x="5"/>
        <item x="9"/>
        <item x="4"/>
        <item x="7"/>
        <item x="8"/>
        <item x="11"/>
        <item x="0"/>
        <item t="default"/>
      </items>
    </pivotField>
  </pivotFields>
  <rowFields count="1">
    <field x="6"/>
  </rowFields>
  <rowItems count="13">
    <i>
      <x/>
    </i>
    <i>
      <x v="1"/>
    </i>
    <i>
      <x v="2"/>
    </i>
    <i>
      <x v="3"/>
    </i>
    <i>
      <x v="4"/>
    </i>
    <i>
      <x v="5"/>
    </i>
    <i>
      <x v="6"/>
    </i>
    <i>
      <x v="7"/>
    </i>
    <i>
      <x v="8"/>
    </i>
    <i>
      <x v="9"/>
    </i>
    <i>
      <x v="10"/>
    </i>
    <i>
      <x v="11"/>
    </i>
    <i t="grand">
      <x/>
    </i>
  </rowItems>
  <colItems count="1">
    <i/>
  </colItems>
  <dataFields count="1">
    <dataField name="Sum of Sales" fld="3" baseField="0" baseItem="0"/>
  </dataFields>
  <chartFormats count="1">
    <chartFormat chart="1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5A09215-2EE4-4E06-9ABA-D48E0C228E38}"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location ref="A20:B24" firstHeaderRow="1" firstDataRow="1" firstDataCol="1"/>
  <pivotFields count="7">
    <pivotField numFmtId="22" showAll="0"/>
    <pivotField showAll="0"/>
    <pivotField axis="axisRow" showAll="0">
      <items count="4">
        <item x="0"/>
        <item x="2"/>
        <item x="1"/>
        <item t="default"/>
      </items>
    </pivotField>
    <pivotField dataField="1" showAll="0"/>
    <pivotField showAll="0">
      <items count="3">
        <item x="0"/>
        <item x="1"/>
        <item t="default"/>
      </items>
    </pivotField>
    <pivotField showAll="0"/>
    <pivotField showAll="0">
      <items count="13">
        <item x="3"/>
        <item x="6"/>
        <item x="1"/>
        <item x="10"/>
        <item x="2"/>
        <item x="5"/>
        <item x="9"/>
        <item x="4"/>
        <item x="7"/>
        <item x="8"/>
        <item x="11"/>
        <item x="0"/>
        <item t="default"/>
      </items>
    </pivotField>
  </pivotFields>
  <rowFields count="1">
    <field x="2"/>
  </rowFields>
  <rowItems count="4">
    <i>
      <x/>
    </i>
    <i>
      <x v="1"/>
    </i>
    <i>
      <x v="2"/>
    </i>
    <i t="grand">
      <x/>
    </i>
  </rowItems>
  <colItems count="1">
    <i/>
  </colItems>
  <dataFields count="1">
    <dataField name="Sum of Sales" fld="3" baseField="0" baseItem="0" numFmtId="2"/>
  </dataFields>
  <formats count="18">
    <format dxfId="44">
      <pivotArea type="all" dataOnly="0" outline="0" fieldPosition="0"/>
    </format>
    <format dxfId="43">
      <pivotArea outline="0" collapsedLevelsAreSubtotals="1" fieldPosition="0"/>
    </format>
    <format dxfId="42">
      <pivotArea field="2" type="button" dataOnly="0" labelOnly="1" outline="0" axis="axisRow" fieldPosition="0"/>
    </format>
    <format dxfId="41">
      <pivotArea dataOnly="0" labelOnly="1" fieldPosition="0">
        <references count="1">
          <reference field="2" count="0"/>
        </references>
      </pivotArea>
    </format>
    <format dxfId="40">
      <pivotArea dataOnly="0" labelOnly="1" grandRow="1" outline="0" fieldPosition="0"/>
    </format>
    <format dxfId="39">
      <pivotArea dataOnly="0" labelOnly="1" outline="0" axis="axisValues" fieldPosition="0"/>
    </format>
    <format dxfId="38">
      <pivotArea outline="0" fieldPosition="0">
        <references count="1">
          <reference field="4294967294" count="1">
            <x v="0"/>
          </reference>
        </references>
      </pivotArea>
    </format>
    <format dxfId="37">
      <pivotArea type="all" dataOnly="0" outline="0" fieldPosition="0"/>
    </format>
    <format dxfId="36">
      <pivotArea outline="0" collapsedLevelsAreSubtotals="1" fieldPosition="0"/>
    </format>
    <format dxfId="35">
      <pivotArea field="2" type="button" dataOnly="0" labelOnly="1" outline="0" axis="axisRow" fieldPosition="0"/>
    </format>
    <format dxfId="34">
      <pivotArea dataOnly="0" labelOnly="1" fieldPosition="0">
        <references count="1">
          <reference field="2" count="0"/>
        </references>
      </pivotArea>
    </format>
    <format dxfId="33">
      <pivotArea dataOnly="0" labelOnly="1" grandRow="1" outline="0" fieldPosition="0"/>
    </format>
    <format dxfId="32">
      <pivotArea dataOnly="0" labelOnly="1" outline="0" axis="axisValues" fieldPosition="0"/>
    </format>
    <format dxfId="31">
      <pivotArea field="2" type="button" dataOnly="0" labelOnly="1" outline="0" axis="axisRow" fieldPosition="0"/>
    </format>
    <format dxfId="30">
      <pivotArea dataOnly="0" labelOnly="1" outline="0" axis="axisValues" fieldPosition="0"/>
    </format>
    <format dxfId="29">
      <pivotArea outline="0" collapsedLevelsAreSubtotals="1" fieldPosition="0"/>
    </format>
    <format dxfId="28">
      <pivotArea dataOnly="0" labelOnly="1" fieldPosition="0">
        <references count="1">
          <reference field="2" count="0"/>
        </references>
      </pivotArea>
    </format>
    <format dxfId="27">
      <pivotArea dataOnly="0" labelOnly="1" grandRow="1" outline="0" fieldPosition="0"/>
    </format>
  </formats>
  <chartFormats count="4">
    <chartFormat chart="17" format="24" series="1">
      <pivotArea type="data" outline="0" fieldPosition="0">
        <references count="1">
          <reference field="4294967294" count="1" selected="0">
            <x v="0"/>
          </reference>
        </references>
      </pivotArea>
    </chartFormat>
    <chartFormat chart="17" format="25">
      <pivotArea type="data" outline="0" fieldPosition="0">
        <references count="2">
          <reference field="4294967294" count="1" selected="0">
            <x v="0"/>
          </reference>
          <reference field="2" count="1" selected="0">
            <x v="0"/>
          </reference>
        </references>
      </pivotArea>
    </chartFormat>
    <chartFormat chart="17" format="26">
      <pivotArea type="data" outline="0" fieldPosition="0">
        <references count="2">
          <reference field="4294967294" count="1" selected="0">
            <x v="0"/>
          </reference>
          <reference field="2" count="1" selected="0">
            <x v="1"/>
          </reference>
        </references>
      </pivotArea>
    </chartFormat>
    <chartFormat chart="17" format="27">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9491151-9A38-4525-9B5C-3522E81B8F3F}" autoFormatId="16" applyNumberFormats="0" applyBorderFormats="0" applyFontFormats="0" applyPatternFormats="0" applyAlignmentFormats="0" applyWidthHeightFormats="0">
  <queryTableRefresh nextId="18" unboundColumnsLeft="1">
    <queryTableFields count="7">
      <queryTableField id="17" dataBound="0" tableColumnId="17"/>
      <queryTableField id="4" name="Income" tableColumnId="4"/>
      <queryTableField id="10" name="Region" tableColumnId="10"/>
      <queryTableField id="12" name="Sales" tableColumnId="12"/>
      <queryTableField id="13" name="Product Category" tableColumnId="13"/>
      <queryTableField id="14" name="Product Sub-Category" tableColumnId="14"/>
      <queryTableField id="15" name="Month" tableColumnId="15"/>
    </queryTableFields>
    <queryTableDeletedFields count="10">
      <deletedField name="Commute Distance"/>
      <deletedField name="Home Owner"/>
      <deletedField name="Marital Status"/>
      <deletedField name="Gender"/>
      <deletedField name="Education"/>
      <deletedField name="Children"/>
      <deletedField name="Occupation"/>
      <deletedField name="Age"/>
      <deletedField name="Order_Date"/>
      <deletedField name="ID"/>
    </queryTableDeleted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24</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 xr10:uid="{C7246685-006D-4980-9C10-005D314D1D58}" sourceName="Order_Date">
  <pivotTables>
    <pivotTable tabId="1" name="PivotTable3"/>
  </pivotTables>
  <data>
    <tabular pivotCacheId="774067676">
      <items count="338">
        <i x="230" s="1"/>
        <i x="276" s="1"/>
        <i x="5" s="1"/>
        <i x="263" s="1"/>
        <i x="76" s="1"/>
        <i x="127" s="1"/>
        <i x="252" s="1"/>
        <i x="290" s="1"/>
        <i x="151" s="1"/>
        <i x="146" s="1"/>
        <i x="233" s="1"/>
        <i x="27" s="1"/>
        <i x="210" s="1"/>
        <i x="44" s="1"/>
        <i x="244" s="1"/>
        <i x="147" s="1"/>
        <i x="84" s="1"/>
        <i x="54" s="1"/>
        <i x="269" s="1"/>
        <i x="90" s="1"/>
        <i x="103" s="1"/>
        <i x="271" s="1"/>
        <i x="220" s="1"/>
        <i x="277" s="1"/>
        <i x="82" s="1"/>
        <i x="144" s="1"/>
        <i x="291" s="1"/>
        <i x="332" s="1"/>
        <i x="118" s="1"/>
        <i x="149" s="1"/>
        <i x="122" s="1"/>
        <i x="111" s="1"/>
        <i x="137" s="1"/>
        <i x="85" s="1"/>
        <i x="249" s="1"/>
        <i x="241" s="1"/>
        <i x="34" s="1"/>
        <i x="207" s="1"/>
        <i x="297" s="1"/>
        <i x="95" s="1"/>
        <i x="33" s="1"/>
        <i x="24" s="1"/>
        <i x="182" s="1"/>
        <i x="47" s="1"/>
        <i x="9" s="1"/>
        <i x="94" s="1"/>
        <i x="226" s="1"/>
        <i x="231" s="1"/>
        <i x="130" s="1"/>
        <i x="172" s="1"/>
        <i x="164" s="1"/>
        <i x="109" s="1"/>
        <i x="334" s="1"/>
        <i x="128" s="1"/>
        <i x="80" s="1"/>
        <i x="121" s="1"/>
        <i x="202" s="1"/>
        <i x="177" s="1"/>
        <i x="1" s="1"/>
        <i x="216" s="1"/>
        <i x="10" s="1"/>
        <i x="136" s="1"/>
        <i x="69" s="1"/>
        <i x="173" s="1"/>
        <i x="326" s="1"/>
        <i x="280" s="1"/>
        <i x="153" s="1"/>
        <i x="268" s="1"/>
        <i x="155" s="1"/>
        <i x="7" s="1"/>
        <i x="158" s="1"/>
        <i x="18" s="1"/>
        <i x="156" s="1"/>
        <i x="35" s="1"/>
        <i x="316" s="1"/>
        <i x="228" s="1"/>
        <i x="154" s="1"/>
        <i x="56" s="1"/>
        <i x="221" s="1"/>
        <i x="192" s="1"/>
        <i x="167" s="1"/>
        <i x="273" s="1"/>
        <i x="279" s="1"/>
        <i x="139" s="1"/>
        <i x="4" s="1"/>
        <i x="215" s="1"/>
        <i x="51" s="1"/>
        <i x="218" s="1"/>
        <i x="238" s="1"/>
        <i x="150" s="1"/>
        <i x="31" s="1"/>
        <i x="162" s="1"/>
        <i x="183" s="1"/>
        <i x="212" s="1"/>
        <i x="17" s="1"/>
        <i x="115" s="1"/>
        <i x="53" s="1"/>
        <i x="48" s="1"/>
        <i x="294" s="1"/>
        <i x="250" s="1"/>
        <i x="39" s="1"/>
        <i x="243" s="1"/>
        <i x="199" s="1"/>
        <i x="77" s="1"/>
        <i x="232" s="1"/>
        <i x="190" s="1"/>
        <i x="322" s="1"/>
        <i x="132" s="1"/>
        <i x="174" s="1"/>
        <i x="258" s="1"/>
        <i x="309" s="1"/>
        <i x="317" s="1"/>
        <i x="247" s="1"/>
        <i x="61" s="1"/>
        <i x="142" s="1"/>
        <i x="26" s="1"/>
        <i x="259" s="1"/>
        <i x="28" s="1"/>
        <i x="88" s="1"/>
        <i x="180" s="1"/>
        <i x="222" s="1"/>
        <i x="3" s="1"/>
        <i x="176" s="1"/>
        <i x="145" s="1"/>
        <i x="214" s="1"/>
        <i x="133" s="1"/>
        <i x="235" s="1"/>
        <i x="333" s="1"/>
        <i x="227" s="1"/>
        <i x="38" s="1"/>
        <i x="135" s="1"/>
        <i x="134" s="1"/>
        <i x="123" s="1"/>
        <i x="187" s="1"/>
        <i x="79" s="1"/>
        <i x="208" s="1"/>
        <i x="219" s="1"/>
        <i x="125" s="1"/>
        <i x="285" s="1"/>
        <i x="98" s="1"/>
        <i x="114" s="1"/>
        <i x="196" s="1"/>
        <i x="225" s="1"/>
        <i x="87" s="1"/>
        <i x="186" s="1"/>
        <i x="104" s="1"/>
        <i x="152" s="1"/>
        <i x="328" s="1"/>
        <i x="257" s="1"/>
        <i x="148" s="1"/>
        <i x="330" s="1"/>
        <i x="55" s="1"/>
        <i x="13" s="1"/>
        <i x="93" s="1"/>
        <i x="287" s="1"/>
        <i x="59" s="1"/>
        <i x="75" s="1"/>
        <i x="100" s="1"/>
        <i x="131" s="1"/>
        <i x="327" s="1"/>
        <i x="110" s="1"/>
        <i x="278" s="1"/>
        <i x="211" s="1"/>
        <i x="159" s="1"/>
        <i x="68" s="1"/>
        <i x="161" s="1"/>
        <i x="264" s="1"/>
        <i x="8" s="1"/>
        <i x="289" s="1"/>
        <i x="320" s="1"/>
        <i x="266" s="1"/>
        <i x="78" s="1"/>
        <i x="166" s="1"/>
        <i x="42" s="1"/>
        <i x="71" s="1"/>
        <i x="318" s="1"/>
        <i x="282" s="1"/>
        <i x="302" s="1"/>
        <i x="171" s="1"/>
        <i x="217" s="1"/>
        <i x="15" s="1"/>
        <i x="40" s="1"/>
        <i x="60" s="1"/>
        <i x="325" s="1"/>
        <i x="254" s="1"/>
        <i x="286" s="1"/>
        <i x="117" s="1"/>
        <i x="30" s="1"/>
        <i x="298" s="1"/>
        <i x="67" s="1"/>
        <i x="169" s="1"/>
        <i x="157" s="1"/>
        <i x="224" s="1"/>
        <i x="45" s="1"/>
        <i x="105" s="1"/>
        <i x="281" s="1"/>
        <i x="189" s="1"/>
        <i x="32" s="1"/>
        <i x="184" s="1"/>
        <i x="293" s="1"/>
        <i x="307" s="1"/>
        <i x="305" s="1"/>
        <i x="272" s="1"/>
        <i x="21" s="1"/>
        <i x="201" s="1"/>
        <i x="129" s="1"/>
        <i x="261" s="1"/>
        <i x="203" s="1"/>
        <i x="11" s="1"/>
        <i x="116" s="1"/>
        <i x="124" s="1"/>
        <i x="255" s="1"/>
        <i x="49" s="1"/>
        <i x="6" s="1"/>
        <i x="295" s="1"/>
        <i x="296" s="1"/>
        <i x="265" s="1"/>
        <i x="304" s="1"/>
        <i x="102" s="1"/>
        <i x="312" s="1"/>
        <i x="23" s="1"/>
        <i x="311" s="1"/>
        <i x="321" s="1"/>
        <i x="163" s="1"/>
        <i x="86" s="1"/>
        <i x="240" s="1"/>
        <i x="178" s="1"/>
        <i x="270" s="1"/>
        <i x="175" s="1"/>
        <i x="168" s="1"/>
        <i x="12" s="1"/>
        <i x="323" s="1"/>
        <i x="73" s="1"/>
        <i x="206" s="1"/>
        <i x="112" s="1"/>
        <i x="191" s="1"/>
        <i x="119" s="1"/>
        <i x="337" s="1"/>
        <i x="185" s="1"/>
        <i x="160" s="1"/>
        <i x="324" s="1"/>
        <i x="101" s="1"/>
        <i x="50" s="1"/>
        <i x="29" s="1"/>
        <i x="22" s="1"/>
        <i x="283" s="1"/>
        <i x="306" s="1"/>
        <i x="107" s="1"/>
        <i x="195" s="1"/>
        <i x="198" s="1"/>
        <i x="194" s="1"/>
        <i x="108" s="1"/>
        <i x="62" s="1"/>
        <i x="329" s="1"/>
        <i x="63" s="1"/>
        <i x="236" s="1"/>
        <i x="319" s="1"/>
        <i x="97" s="1"/>
        <i x="65" s="1"/>
        <i x="41" s="1"/>
        <i x="292" s="1"/>
        <i x="300" s="1"/>
        <i x="188" s="1"/>
        <i x="36" s="1"/>
        <i x="89" s="1"/>
        <i x="58" s="1"/>
        <i x="25" s="1"/>
        <i x="170" s="1"/>
        <i x="126" s="1"/>
        <i x="64" s="1"/>
        <i x="81" s="1"/>
        <i x="143" s="1"/>
        <i x="209" s="1"/>
        <i x="299" s="1"/>
        <i x="72" s="1"/>
        <i x="242" s="1"/>
        <i x="14" s="1"/>
        <i x="335" s="1"/>
        <i x="57" s="1"/>
        <i x="113" s="1"/>
        <i x="179" s="1"/>
        <i x="267" s="1"/>
        <i x="301" s="1"/>
        <i x="19" s="1"/>
        <i x="262" s="1"/>
        <i x="331" s="1"/>
        <i x="138" s="1"/>
        <i x="83" s="1"/>
        <i x="205" s="1"/>
        <i x="336" s="1"/>
        <i x="91" s="1"/>
        <i x="106" s="1"/>
        <i x="284" s="1"/>
        <i x="92" s="1"/>
        <i x="314" s="1"/>
        <i x="181" s="1"/>
        <i x="193" s="1"/>
        <i x="253" s="1"/>
        <i x="99" s="1"/>
        <i x="246" s="1"/>
        <i x="120" s="1"/>
        <i x="46" s="1"/>
        <i x="140" s="1"/>
        <i x="303" s="1"/>
        <i x="52" s="1"/>
        <i x="313" s="1"/>
        <i x="274" s="1"/>
        <i x="204" s="1"/>
        <i x="223" s="1"/>
        <i x="66" s="1"/>
        <i x="197" s="1"/>
        <i x="288" s="1"/>
        <i x="43" s="1"/>
        <i x="229" s="1"/>
        <i x="248" s="1"/>
        <i x="234" s="1"/>
        <i x="70" s="1"/>
        <i x="275" s="1"/>
        <i x="213" s="1"/>
        <i x="308" s="1"/>
        <i x="310" s="1"/>
        <i x="260" s="1"/>
        <i x="0" s="1"/>
        <i x="74" s="1"/>
        <i x="20" s="1"/>
        <i x="16" s="1"/>
        <i x="315" s="1"/>
        <i x="256" s="1"/>
        <i x="141" s="1"/>
        <i x="245" s="1"/>
        <i x="237" s="1"/>
        <i x="239" s="1"/>
        <i x="96" s="1"/>
        <i x="2" s="1"/>
        <i x="251" s="1"/>
        <i x="37" s="1"/>
        <i x="200" s="1"/>
        <i x="16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2FCA89F-5E3C-4B9D-B0DE-DBDD119FC7BB}" sourceName="Region">
  <pivotTables>
    <pivotTable tabId="1" name="PivotTable3"/>
    <pivotTable tabId="1" name="PivotTable1"/>
    <pivotTable tabId="1" name="PivotTable2"/>
  </pivotTables>
  <data>
    <tabular pivotCacheId="774067676">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36136301-29D8-4036-9E27-C24E8556AE64}" sourceName="Product Category">
  <pivotTables>
    <pivotTable tabId="1" name="PivotTable3"/>
    <pivotTable tabId="1" name="PivotTable1"/>
    <pivotTable tabId="1" name="PivotTable2"/>
  </pivotTables>
  <data>
    <tabular pivotCacheId="774067676">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1CD835D-AFFA-41C2-B675-2D3A4A8FF540}" sourceName="Month">
  <pivotTables>
    <pivotTable tabId="1" name="PivotTable3"/>
    <pivotTable tabId="1" name="PivotTable1"/>
    <pivotTable tabId="1" name="PivotTable2"/>
  </pivotTables>
  <data>
    <tabular pivotCacheId="774067676">
      <items count="12">
        <i x="3" s="1"/>
        <i x="6" s="1"/>
        <i x="1" s="1"/>
        <i x="10" s="1"/>
        <i x="2" s="1"/>
        <i x="5" s="1"/>
        <i x="9" s="1"/>
        <i x="4" s="1"/>
        <i x="7" s="1"/>
        <i x="8" s="1"/>
        <i x="1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_Date" xr10:uid="{4E1F4C7C-D6E5-4240-B690-B431FF922A89}" cache="Slicer_Order_Date" caption="Order_Date" style="SlicerStyleLight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4F07C8E-E751-4F9A-96B8-1E3AAC6BCBFB}" cache="Slicer_Region" caption="Region" columnCount="3" style="Slicer Style 9" rowHeight="247650"/>
  <slicer name="Product Category" xr10:uid="{8553620C-AB61-4CAB-B0AA-2A475A1DC220}" cache="Slicer_Product_Category" caption="Product Category" style="Slicer Style 9" rowHeight="247650"/>
  <slicer name="Month" xr10:uid="{3DB006EB-DEA4-445D-8C13-113E0EDF81D9}" cache="Slicer_Month" caption="Month" columnCount="6" style="Slicer Style 9"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8971FF1-FFA4-461A-91B9-E124D7217933}" name="Sheet1" displayName="Sheet1" ref="A1:G1028" tableType="queryTable" totalsRowCount="1" headerRowDxfId="61" dataDxfId="60">
  <tableColumns count="7">
    <tableColumn id="17" xr3:uid="{4A9CE077-0E64-4158-ABF6-8D118243B5C0}" uniqueName="17" name="Order_Date" queryTableFieldId="17" dataDxfId="59" totalsRowDxfId="58"/>
    <tableColumn id="4" xr3:uid="{B105706E-7A19-419B-8819-51A164A8D95C}" uniqueName="4" name="Income" queryTableFieldId="4" dataDxfId="57" totalsRowDxfId="56"/>
    <tableColumn id="10" xr3:uid="{BEF5C431-5CD7-4849-A4BF-0DE6DBF15952}" uniqueName="10" name="Region" queryTableFieldId="10" dataDxfId="55" totalsRowDxfId="54"/>
    <tableColumn id="12" xr3:uid="{83081DD4-3011-4C2E-B4FB-C59C2854DFB8}" uniqueName="12" name="Sales" queryTableFieldId="12" dataDxfId="53" totalsRowDxfId="52"/>
    <tableColumn id="13" xr3:uid="{38D61F74-6DD3-4B27-99D1-3D0E91FBBD19}" uniqueName="13" name="Product Category" queryTableFieldId="13" dataDxfId="51" totalsRowDxfId="50"/>
    <tableColumn id="14" xr3:uid="{05909A09-3691-43AF-8C1D-903E3A1248FF}" uniqueName="14" name="Product Sub-Category" queryTableFieldId="14" dataDxfId="49" totalsRowDxfId="48"/>
    <tableColumn id="15" xr3:uid="{87A64B5E-D453-4689-888B-B9957834B9B7}" uniqueName="15" name="Month" queryTableFieldId="15" dataDxfId="47" totalsRowDxfId="4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BE7920-3A89-49EF-ABF9-D3D639E2FBBE}" name="Table2" displayName="Table2" ref="A3:G110" totalsRowShown="0">
  <autoFilter ref="A3:G110" xr:uid="{5CBE7920-3A89-49EF-ABF9-D3D639E2FBBE}"/>
  <tableColumns count="7">
    <tableColumn id="1" xr3:uid="{94E32A72-B0F9-44BD-B072-DAFA4681AA5D}" name="Order_Date" dataDxfId="45"/>
    <tableColumn id="2" xr3:uid="{1B9EA430-6E31-48FB-895B-F10916943F36}" name="Income"/>
    <tableColumn id="3" xr3:uid="{114C7EF1-7828-48C4-A83D-3E785E98EFD8}" name="Region"/>
    <tableColumn id="4" xr3:uid="{D00A102C-F93F-49B2-8C83-5A7275B7A966}" name="Sales"/>
    <tableColumn id="5" xr3:uid="{ABE381BD-1306-4312-B2FA-507C5048BE72}" name="Product Category"/>
    <tableColumn id="6" xr3:uid="{633C69EF-CB5D-4A9D-BB07-03A3F2F3B0F1}" name="Product Sub-Category"/>
    <tableColumn id="7" xr3:uid="{E37531C0-C898-4149-9483-4D59877716B5}" name="Month"/>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0D834-4FC5-4067-8392-C47977AADF66}">
  <dimension ref="A1:K1028"/>
  <sheetViews>
    <sheetView workbookViewId="0">
      <selection activeCell="K4" sqref="K4"/>
    </sheetView>
  </sheetViews>
  <sheetFormatPr defaultRowHeight="14.4" x14ac:dyDescent="0.3"/>
  <cols>
    <col min="1" max="1" width="20.88671875" style="1" customWidth="1"/>
    <col min="2" max="2" width="9.44140625" style="1" bestFit="1" customWidth="1"/>
    <col min="3" max="3" width="12.6640625" style="1" bestFit="1" customWidth="1"/>
    <col min="4" max="4" width="13.77734375" style="1" customWidth="1"/>
    <col min="5" max="5" width="17.5546875" style="1" bestFit="1" customWidth="1"/>
    <col min="6" max="6" width="21.5546875" style="1" bestFit="1" customWidth="1"/>
    <col min="7" max="7" width="9.77734375" style="1" bestFit="1" customWidth="1"/>
  </cols>
  <sheetData>
    <row r="1" spans="1:11" x14ac:dyDescent="0.3">
      <c r="A1" s="1" t="s">
        <v>6</v>
      </c>
      <c r="B1" s="1" t="s">
        <v>0</v>
      </c>
      <c r="C1" s="1" t="s">
        <v>1</v>
      </c>
      <c r="D1" s="1" t="s">
        <v>2</v>
      </c>
      <c r="E1" s="1" t="s">
        <v>3</v>
      </c>
      <c r="F1" s="1" t="s">
        <v>4</v>
      </c>
      <c r="G1" s="1" t="s">
        <v>5</v>
      </c>
    </row>
    <row r="2" spans="1:11" x14ac:dyDescent="0.3">
      <c r="A2" s="2">
        <v>45275</v>
      </c>
      <c r="B2" s="1">
        <v>40000</v>
      </c>
      <c r="C2" s="1" t="s">
        <v>7</v>
      </c>
      <c r="D2" s="1">
        <v>8157.13</v>
      </c>
      <c r="E2" s="1" t="s">
        <v>8</v>
      </c>
      <c r="F2" s="1" t="s">
        <v>9</v>
      </c>
      <c r="G2" s="1" t="s">
        <v>10</v>
      </c>
    </row>
    <row r="3" spans="1:11" x14ac:dyDescent="0.3">
      <c r="A3" s="2">
        <v>44989</v>
      </c>
      <c r="B3" s="1">
        <v>30000</v>
      </c>
      <c r="C3" s="1" t="s">
        <v>7</v>
      </c>
      <c r="D3" s="1">
        <v>8626.26</v>
      </c>
      <c r="E3" s="1" t="s">
        <v>8</v>
      </c>
      <c r="F3" s="1" t="s">
        <v>11</v>
      </c>
      <c r="G3" s="1" t="s">
        <v>12</v>
      </c>
    </row>
    <row r="4" spans="1:11" x14ac:dyDescent="0.3">
      <c r="A4" s="2">
        <v>45287</v>
      </c>
      <c r="B4" s="1">
        <v>80000</v>
      </c>
      <c r="C4" s="1" t="s">
        <v>7</v>
      </c>
      <c r="D4" s="1">
        <v>5043.8100000000004</v>
      </c>
      <c r="E4" s="1" t="s">
        <v>8</v>
      </c>
      <c r="F4" s="1" t="s">
        <v>13</v>
      </c>
      <c r="G4" s="1" t="s">
        <v>10</v>
      </c>
      <c r="K4">
        <f>MIN(Sheet1[Sales])</f>
        <v>105.48</v>
      </c>
    </row>
    <row r="5" spans="1:11" x14ac:dyDescent="0.3">
      <c r="A5" s="2">
        <v>45057</v>
      </c>
      <c r="B5" s="1">
        <v>70000</v>
      </c>
      <c r="C5" s="1" t="s">
        <v>14</v>
      </c>
      <c r="D5" s="1">
        <v>7960.62</v>
      </c>
      <c r="E5" s="1" t="s">
        <v>15</v>
      </c>
      <c r="F5" s="1" t="s">
        <v>16</v>
      </c>
      <c r="G5" s="1" t="s">
        <v>17</v>
      </c>
    </row>
    <row r="6" spans="1:11" x14ac:dyDescent="0.3">
      <c r="A6" s="2">
        <v>45016</v>
      </c>
      <c r="B6" s="1">
        <v>30000</v>
      </c>
      <c r="C6" s="1" t="s">
        <v>7</v>
      </c>
      <c r="D6" s="1">
        <v>5387.26</v>
      </c>
      <c r="E6" s="1" t="s">
        <v>15</v>
      </c>
      <c r="F6" s="1" t="s">
        <v>18</v>
      </c>
      <c r="G6" s="1" t="s">
        <v>12</v>
      </c>
    </row>
    <row r="7" spans="1:11" x14ac:dyDescent="0.3">
      <c r="A7" s="2">
        <v>44929</v>
      </c>
      <c r="B7" s="1">
        <v>10000</v>
      </c>
      <c r="C7" s="1" t="s">
        <v>7</v>
      </c>
      <c r="D7" s="1">
        <v>3548.73</v>
      </c>
      <c r="E7" s="1" t="s">
        <v>8</v>
      </c>
      <c r="F7" s="1" t="s">
        <v>13</v>
      </c>
      <c r="G7" s="1" t="s">
        <v>19</v>
      </c>
    </row>
    <row r="8" spans="1:11" x14ac:dyDescent="0.3">
      <c r="A8" s="2">
        <v>45158</v>
      </c>
      <c r="B8" s="1">
        <v>160000</v>
      </c>
      <c r="C8" s="1" t="s">
        <v>14</v>
      </c>
      <c r="D8" s="1">
        <v>919.88</v>
      </c>
      <c r="E8" s="1" t="s">
        <v>15</v>
      </c>
      <c r="F8" s="1" t="s">
        <v>20</v>
      </c>
      <c r="G8" s="1" t="s">
        <v>21</v>
      </c>
    </row>
    <row r="9" spans="1:11" x14ac:dyDescent="0.3">
      <c r="A9" s="2">
        <v>45001</v>
      </c>
      <c r="B9" s="1">
        <v>40000</v>
      </c>
      <c r="C9" s="1" t="s">
        <v>7</v>
      </c>
      <c r="D9" s="1">
        <v>8392.02</v>
      </c>
      <c r="E9" s="1" t="s">
        <v>8</v>
      </c>
      <c r="F9" s="1" t="s">
        <v>22</v>
      </c>
      <c r="G9" s="1" t="s">
        <v>12</v>
      </c>
    </row>
    <row r="10" spans="1:11" x14ac:dyDescent="0.3">
      <c r="A10" s="2">
        <v>45105</v>
      </c>
      <c r="B10" s="1">
        <v>20000</v>
      </c>
      <c r="C10" s="1" t="s">
        <v>14</v>
      </c>
      <c r="D10" s="1">
        <v>6456.44</v>
      </c>
      <c r="E10" s="1" t="s">
        <v>8</v>
      </c>
      <c r="F10" s="1" t="s">
        <v>11</v>
      </c>
      <c r="G10" s="1" t="s">
        <v>23</v>
      </c>
    </row>
    <row r="11" spans="1:11" x14ac:dyDescent="0.3">
      <c r="A11" s="2">
        <v>44973</v>
      </c>
      <c r="B11" s="1">
        <v>120000</v>
      </c>
      <c r="C11" s="1" t="s">
        <v>7</v>
      </c>
      <c r="D11" s="1">
        <v>7988.06</v>
      </c>
      <c r="E11" s="1" t="s">
        <v>8</v>
      </c>
      <c r="F11" s="1" t="s">
        <v>22</v>
      </c>
      <c r="G11" s="1" t="s">
        <v>24</v>
      </c>
    </row>
    <row r="12" spans="1:11" x14ac:dyDescent="0.3">
      <c r="A12" s="2">
        <v>44992</v>
      </c>
      <c r="B12" s="1">
        <v>30000</v>
      </c>
      <c r="C12" s="1" t="s">
        <v>14</v>
      </c>
      <c r="D12" s="1">
        <v>6949</v>
      </c>
      <c r="E12" s="1" t="s">
        <v>8</v>
      </c>
      <c r="F12" s="1" t="s">
        <v>13</v>
      </c>
      <c r="G12" s="1" t="s">
        <v>12</v>
      </c>
    </row>
    <row r="13" spans="1:11" x14ac:dyDescent="0.3">
      <c r="A13" s="2">
        <v>45153</v>
      </c>
      <c r="B13" s="1">
        <v>90000</v>
      </c>
      <c r="C13" s="1" t="s">
        <v>14</v>
      </c>
      <c r="D13" s="1">
        <v>5034.91</v>
      </c>
      <c r="E13" s="1" t="s">
        <v>15</v>
      </c>
      <c r="F13" s="1" t="s">
        <v>25</v>
      </c>
      <c r="G13" s="1" t="s">
        <v>21</v>
      </c>
    </row>
    <row r="14" spans="1:11" x14ac:dyDescent="0.3">
      <c r="A14" s="2">
        <v>45175</v>
      </c>
      <c r="B14" s="1">
        <v>170000</v>
      </c>
      <c r="C14" s="1" t="s">
        <v>7</v>
      </c>
      <c r="D14" s="1">
        <v>456.33</v>
      </c>
      <c r="E14" s="1" t="s">
        <v>8</v>
      </c>
      <c r="F14" s="1" t="s">
        <v>26</v>
      </c>
      <c r="G14" s="1" t="s">
        <v>27</v>
      </c>
    </row>
    <row r="15" spans="1:11" x14ac:dyDescent="0.3">
      <c r="A15" s="2">
        <v>45089</v>
      </c>
      <c r="B15" s="1">
        <v>40000</v>
      </c>
      <c r="C15" s="1" t="s">
        <v>7</v>
      </c>
      <c r="D15" s="1">
        <v>6893.26</v>
      </c>
      <c r="E15" s="1" t="s">
        <v>15</v>
      </c>
      <c r="F15" s="1" t="s">
        <v>18</v>
      </c>
      <c r="G15" s="1" t="s">
        <v>23</v>
      </c>
    </row>
    <row r="16" spans="1:11" x14ac:dyDescent="0.3">
      <c r="A16" s="2">
        <v>45225</v>
      </c>
      <c r="B16" s="1">
        <v>60000</v>
      </c>
      <c r="C16" s="1" t="s">
        <v>14</v>
      </c>
      <c r="D16" s="1">
        <v>3095.6</v>
      </c>
      <c r="E16" s="1" t="s">
        <v>8</v>
      </c>
      <c r="F16" s="1" t="s">
        <v>9</v>
      </c>
      <c r="G16" s="1" t="s">
        <v>28</v>
      </c>
    </row>
    <row r="17" spans="1:7" x14ac:dyDescent="0.3">
      <c r="A17" s="2">
        <v>45119</v>
      </c>
      <c r="B17" s="1">
        <v>10000</v>
      </c>
      <c r="C17" s="1" t="s">
        <v>7</v>
      </c>
      <c r="D17" s="1">
        <v>4287.91</v>
      </c>
      <c r="E17" s="1" t="s">
        <v>15</v>
      </c>
      <c r="F17" s="1" t="s">
        <v>20</v>
      </c>
      <c r="G17" s="1" t="s">
        <v>29</v>
      </c>
    </row>
    <row r="18" spans="1:7" x14ac:dyDescent="0.3">
      <c r="A18" s="2">
        <v>45278</v>
      </c>
      <c r="B18" s="1">
        <v>30000</v>
      </c>
      <c r="C18" s="1" t="s">
        <v>14</v>
      </c>
      <c r="D18" s="1">
        <v>6729.48</v>
      </c>
      <c r="E18" s="1" t="s">
        <v>15</v>
      </c>
      <c r="F18" s="1" t="s">
        <v>20</v>
      </c>
      <c r="G18" s="1" t="s">
        <v>10</v>
      </c>
    </row>
    <row r="19" spans="1:7" x14ac:dyDescent="0.3">
      <c r="A19" s="2">
        <v>45028</v>
      </c>
      <c r="B19" s="1">
        <v>30000</v>
      </c>
      <c r="C19" s="1" t="s">
        <v>7</v>
      </c>
      <c r="D19" s="1">
        <v>4042.88</v>
      </c>
      <c r="E19" s="1" t="s">
        <v>8</v>
      </c>
      <c r="F19" s="1" t="s">
        <v>26</v>
      </c>
      <c r="G19" s="1" t="s">
        <v>30</v>
      </c>
    </row>
    <row r="20" spans="1:7" x14ac:dyDescent="0.3">
      <c r="A20" s="2">
        <v>45003</v>
      </c>
      <c r="B20" s="1">
        <v>40000</v>
      </c>
      <c r="C20" s="1" t="s">
        <v>7</v>
      </c>
      <c r="D20" s="1">
        <v>3796.64</v>
      </c>
      <c r="E20" s="1" t="s">
        <v>15</v>
      </c>
      <c r="F20" s="1" t="s">
        <v>16</v>
      </c>
      <c r="G20" s="1" t="s">
        <v>12</v>
      </c>
    </row>
    <row r="21" spans="1:7" x14ac:dyDescent="0.3">
      <c r="A21" s="2">
        <v>45232</v>
      </c>
      <c r="B21" s="1">
        <v>20000</v>
      </c>
      <c r="C21" s="1" t="s">
        <v>14</v>
      </c>
      <c r="D21" s="1">
        <v>7942</v>
      </c>
      <c r="E21" s="1" t="s">
        <v>8</v>
      </c>
      <c r="F21" s="1" t="s">
        <v>13</v>
      </c>
      <c r="G21" s="1" t="s">
        <v>31</v>
      </c>
    </row>
    <row r="22" spans="1:7" x14ac:dyDescent="0.3">
      <c r="A22" s="2">
        <v>45277</v>
      </c>
      <c r="B22" s="1">
        <v>40000</v>
      </c>
      <c r="C22" s="1" t="s">
        <v>7</v>
      </c>
      <c r="D22" s="1">
        <v>1387.65</v>
      </c>
      <c r="E22" s="1" t="s">
        <v>8</v>
      </c>
      <c r="F22" s="1" t="s">
        <v>9</v>
      </c>
      <c r="G22" s="1" t="s">
        <v>10</v>
      </c>
    </row>
    <row r="23" spans="1:7" x14ac:dyDescent="0.3">
      <c r="A23" s="2">
        <v>45146</v>
      </c>
      <c r="B23" s="1">
        <v>80000</v>
      </c>
      <c r="C23" s="1" t="s">
        <v>14</v>
      </c>
      <c r="D23" s="1">
        <v>8869.8700000000008</v>
      </c>
      <c r="E23" s="1" t="s">
        <v>8</v>
      </c>
      <c r="F23" s="1" t="s">
        <v>13</v>
      </c>
      <c r="G23" s="1" t="s">
        <v>21</v>
      </c>
    </row>
    <row r="24" spans="1:7" x14ac:dyDescent="0.3">
      <c r="A24" s="2">
        <v>45191</v>
      </c>
      <c r="B24" s="1">
        <v>40000</v>
      </c>
      <c r="C24" s="1" t="s">
        <v>7</v>
      </c>
      <c r="D24" s="1">
        <v>4729.34</v>
      </c>
      <c r="E24" s="1" t="s">
        <v>15</v>
      </c>
      <c r="F24" s="1" t="s">
        <v>32</v>
      </c>
      <c r="G24" s="1" t="s">
        <v>27</v>
      </c>
    </row>
    <row r="25" spans="1:7" x14ac:dyDescent="0.3">
      <c r="A25" s="2">
        <v>45165</v>
      </c>
      <c r="B25" s="1">
        <v>80000</v>
      </c>
      <c r="C25" s="1" t="s">
        <v>7</v>
      </c>
      <c r="D25" s="1">
        <v>5079.22</v>
      </c>
      <c r="E25" s="1" t="s">
        <v>8</v>
      </c>
      <c r="F25" s="1" t="s">
        <v>13</v>
      </c>
      <c r="G25" s="1" t="s">
        <v>21</v>
      </c>
    </row>
    <row r="26" spans="1:7" x14ac:dyDescent="0.3">
      <c r="A26" s="2">
        <v>44970</v>
      </c>
      <c r="B26" s="1">
        <v>40000</v>
      </c>
      <c r="C26" s="1" t="s">
        <v>7</v>
      </c>
      <c r="D26" s="1">
        <v>2599.4499999999998</v>
      </c>
      <c r="E26" s="1" t="s">
        <v>8</v>
      </c>
      <c r="F26" s="1" t="s">
        <v>13</v>
      </c>
      <c r="G26" s="1" t="s">
        <v>24</v>
      </c>
    </row>
    <row r="27" spans="1:7" x14ac:dyDescent="0.3">
      <c r="A27" s="2">
        <v>45214</v>
      </c>
      <c r="B27" s="1">
        <v>30000</v>
      </c>
      <c r="C27" s="1" t="s">
        <v>7</v>
      </c>
      <c r="D27" s="1">
        <v>5184.21</v>
      </c>
      <c r="E27" s="1" t="s">
        <v>15</v>
      </c>
      <c r="F27" s="1" t="s">
        <v>25</v>
      </c>
      <c r="G27" s="1" t="s">
        <v>28</v>
      </c>
    </row>
    <row r="28" spans="1:7" x14ac:dyDescent="0.3">
      <c r="A28" s="2">
        <v>45057</v>
      </c>
      <c r="B28" s="1">
        <v>30000</v>
      </c>
      <c r="C28" s="1" t="s">
        <v>7</v>
      </c>
      <c r="D28" s="1">
        <v>1047.1400000000001</v>
      </c>
      <c r="E28" s="1" t="s">
        <v>8</v>
      </c>
      <c r="F28" s="1" t="s">
        <v>9</v>
      </c>
      <c r="G28" s="1" t="s">
        <v>17</v>
      </c>
    </row>
    <row r="29" spans="1:7" x14ac:dyDescent="0.3">
      <c r="A29" s="2">
        <v>45050</v>
      </c>
      <c r="B29" s="1">
        <v>100000</v>
      </c>
      <c r="C29" s="1" t="s">
        <v>14</v>
      </c>
      <c r="D29" s="1">
        <v>2457.7399999999998</v>
      </c>
      <c r="E29" s="1" t="s">
        <v>8</v>
      </c>
      <c r="F29" s="1" t="s">
        <v>22</v>
      </c>
      <c r="G29" s="1" t="s">
        <v>17</v>
      </c>
    </row>
    <row r="30" spans="1:7" x14ac:dyDescent="0.3">
      <c r="A30" s="2">
        <v>44939</v>
      </c>
      <c r="B30" s="1">
        <v>70000</v>
      </c>
      <c r="C30" s="1" t="s">
        <v>14</v>
      </c>
      <c r="D30" s="1">
        <v>3389.48</v>
      </c>
      <c r="E30" s="1" t="s">
        <v>15</v>
      </c>
      <c r="F30" s="1" t="s">
        <v>32</v>
      </c>
      <c r="G30" s="1" t="s">
        <v>19</v>
      </c>
    </row>
    <row r="31" spans="1:7" x14ac:dyDescent="0.3">
      <c r="A31" s="2">
        <v>45053</v>
      </c>
      <c r="B31" s="1">
        <v>20000</v>
      </c>
      <c r="C31" s="1" t="s">
        <v>7</v>
      </c>
      <c r="D31" s="1">
        <v>596.76</v>
      </c>
      <c r="E31" s="1" t="s">
        <v>8</v>
      </c>
      <c r="F31" s="1" t="s">
        <v>22</v>
      </c>
      <c r="G31" s="1" t="s">
        <v>17</v>
      </c>
    </row>
    <row r="32" spans="1:7" x14ac:dyDescent="0.3">
      <c r="A32" s="2">
        <v>45190</v>
      </c>
      <c r="B32" s="1">
        <v>20000</v>
      </c>
      <c r="C32" s="1" t="s">
        <v>7</v>
      </c>
      <c r="D32" s="1">
        <v>8807.56</v>
      </c>
      <c r="E32" s="1" t="s">
        <v>15</v>
      </c>
      <c r="F32" s="1" t="s">
        <v>20</v>
      </c>
      <c r="G32" s="1" t="s">
        <v>27</v>
      </c>
    </row>
    <row r="33" spans="1:7" x14ac:dyDescent="0.3">
      <c r="A33" s="2">
        <v>45175</v>
      </c>
      <c r="B33" s="1">
        <v>10000</v>
      </c>
      <c r="C33" s="1" t="s">
        <v>14</v>
      </c>
      <c r="D33" s="1">
        <v>6118.35</v>
      </c>
      <c r="E33" s="1" t="s">
        <v>15</v>
      </c>
      <c r="F33" s="1" t="s">
        <v>25</v>
      </c>
      <c r="G33" s="1" t="s">
        <v>27</v>
      </c>
    </row>
    <row r="34" spans="1:7" x14ac:dyDescent="0.3">
      <c r="A34" s="2">
        <v>45128</v>
      </c>
      <c r="B34" s="1">
        <v>20000</v>
      </c>
      <c r="C34" s="1" t="s">
        <v>7</v>
      </c>
      <c r="D34" s="1">
        <v>8661.15</v>
      </c>
      <c r="E34" s="1" t="s">
        <v>15</v>
      </c>
      <c r="F34" s="1" t="s">
        <v>32</v>
      </c>
      <c r="G34" s="1" t="s">
        <v>29</v>
      </c>
    </row>
    <row r="35" spans="1:7" x14ac:dyDescent="0.3">
      <c r="A35" s="2">
        <v>45024</v>
      </c>
      <c r="B35" s="1">
        <v>80000</v>
      </c>
      <c r="C35" s="1" t="s">
        <v>14</v>
      </c>
      <c r="D35" s="1">
        <v>5645.54</v>
      </c>
      <c r="E35" s="1" t="s">
        <v>8</v>
      </c>
      <c r="F35" s="1" t="s">
        <v>26</v>
      </c>
      <c r="G35" s="1" t="s">
        <v>30</v>
      </c>
    </row>
    <row r="36" spans="1:7" x14ac:dyDescent="0.3">
      <c r="A36" s="2">
        <v>45138</v>
      </c>
      <c r="B36" s="1">
        <v>90000</v>
      </c>
      <c r="C36" s="1" t="s">
        <v>7</v>
      </c>
      <c r="D36" s="1">
        <v>2855.77</v>
      </c>
      <c r="E36" s="1" t="s">
        <v>15</v>
      </c>
      <c r="F36" s="1" t="s">
        <v>16</v>
      </c>
      <c r="G36" s="1" t="s">
        <v>29</v>
      </c>
    </row>
    <row r="37" spans="1:7" x14ac:dyDescent="0.3">
      <c r="A37" s="2">
        <v>44969</v>
      </c>
      <c r="B37" s="1">
        <v>10000</v>
      </c>
      <c r="C37" s="1" t="s">
        <v>7</v>
      </c>
      <c r="D37" s="1">
        <v>9686.64</v>
      </c>
      <c r="E37" s="1" t="s">
        <v>8</v>
      </c>
      <c r="F37" s="1" t="s">
        <v>13</v>
      </c>
      <c r="G37" s="1" t="s">
        <v>24</v>
      </c>
    </row>
    <row r="38" spans="1:7" x14ac:dyDescent="0.3">
      <c r="A38" s="2">
        <v>45158</v>
      </c>
      <c r="B38" s="1">
        <v>10000</v>
      </c>
      <c r="C38" s="1" t="s">
        <v>7</v>
      </c>
      <c r="D38" s="1">
        <v>4175.95</v>
      </c>
      <c r="E38" s="1" t="s">
        <v>8</v>
      </c>
      <c r="F38" s="1" t="s">
        <v>9</v>
      </c>
      <c r="G38" s="1" t="s">
        <v>21</v>
      </c>
    </row>
    <row r="39" spans="1:7" x14ac:dyDescent="0.3">
      <c r="A39" s="2">
        <v>44964</v>
      </c>
      <c r="B39" s="1">
        <v>30000</v>
      </c>
      <c r="C39" s="1" t="s">
        <v>7</v>
      </c>
      <c r="D39" s="1">
        <v>271.41000000000003</v>
      </c>
      <c r="E39" s="1" t="s">
        <v>8</v>
      </c>
      <c r="F39" s="1" t="s">
        <v>22</v>
      </c>
      <c r="G39" s="1" t="s">
        <v>24</v>
      </c>
    </row>
    <row r="40" spans="1:7" x14ac:dyDescent="0.3">
      <c r="A40" s="2">
        <v>45005</v>
      </c>
      <c r="B40" s="1">
        <v>20000</v>
      </c>
      <c r="C40" s="1" t="s">
        <v>7</v>
      </c>
      <c r="D40" s="1">
        <v>5830.79</v>
      </c>
      <c r="E40" s="1" t="s">
        <v>15</v>
      </c>
      <c r="F40" s="1" t="s">
        <v>32</v>
      </c>
      <c r="G40" s="1" t="s">
        <v>12</v>
      </c>
    </row>
    <row r="41" spans="1:7" x14ac:dyDescent="0.3">
      <c r="A41" s="2">
        <v>45211</v>
      </c>
      <c r="B41" s="1">
        <v>10000</v>
      </c>
      <c r="C41" s="1" t="s">
        <v>7</v>
      </c>
      <c r="D41" s="1">
        <v>6182.23</v>
      </c>
      <c r="E41" s="1" t="s">
        <v>8</v>
      </c>
      <c r="F41" s="1" t="s">
        <v>26</v>
      </c>
      <c r="G41" s="1" t="s">
        <v>28</v>
      </c>
    </row>
    <row r="42" spans="1:7" x14ac:dyDescent="0.3">
      <c r="A42" s="2">
        <v>45289</v>
      </c>
      <c r="B42" s="1">
        <v>30000</v>
      </c>
      <c r="C42" s="1" t="s">
        <v>7</v>
      </c>
      <c r="D42" s="1">
        <v>7387.69</v>
      </c>
      <c r="E42" s="1" t="s">
        <v>8</v>
      </c>
      <c r="F42" s="1" t="s">
        <v>26</v>
      </c>
      <c r="G42" s="1" t="s">
        <v>10</v>
      </c>
    </row>
    <row r="43" spans="1:7" x14ac:dyDescent="0.3">
      <c r="A43" s="2">
        <v>45065</v>
      </c>
      <c r="B43" s="1">
        <v>40000</v>
      </c>
      <c r="C43" s="1" t="s">
        <v>14</v>
      </c>
      <c r="D43" s="1">
        <v>7788.18</v>
      </c>
      <c r="E43" s="1" t="s">
        <v>8</v>
      </c>
      <c r="F43" s="1" t="s">
        <v>22</v>
      </c>
      <c r="G43" s="1" t="s">
        <v>17</v>
      </c>
    </row>
    <row r="44" spans="1:7" x14ac:dyDescent="0.3">
      <c r="A44" s="2">
        <v>45034</v>
      </c>
      <c r="B44" s="1">
        <v>10000</v>
      </c>
      <c r="C44" s="1" t="s">
        <v>7</v>
      </c>
      <c r="D44" s="1">
        <v>4469.0600000000004</v>
      </c>
      <c r="E44" s="1" t="s">
        <v>8</v>
      </c>
      <c r="F44" s="1" t="s">
        <v>9</v>
      </c>
      <c r="G44" s="1" t="s">
        <v>30</v>
      </c>
    </row>
    <row r="45" spans="1:7" x14ac:dyDescent="0.3">
      <c r="A45" s="2">
        <v>45289</v>
      </c>
      <c r="B45" s="1">
        <v>170000</v>
      </c>
      <c r="C45" s="1" t="s">
        <v>7</v>
      </c>
      <c r="D45" s="1">
        <v>2071.9</v>
      </c>
      <c r="E45" s="1" t="s">
        <v>15</v>
      </c>
      <c r="F45" s="1" t="s">
        <v>25</v>
      </c>
      <c r="G45" s="1" t="s">
        <v>10</v>
      </c>
    </row>
    <row r="46" spans="1:7" x14ac:dyDescent="0.3">
      <c r="A46" s="2">
        <v>45120</v>
      </c>
      <c r="B46" s="1">
        <v>20000</v>
      </c>
      <c r="C46" s="1" t="s">
        <v>7</v>
      </c>
      <c r="D46" s="1">
        <v>4350.18</v>
      </c>
      <c r="E46" s="1" t="s">
        <v>8</v>
      </c>
      <c r="F46" s="1" t="s">
        <v>13</v>
      </c>
      <c r="G46" s="1" t="s">
        <v>29</v>
      </c>
    </row>
    <row r="47" spans="1:7" x14ac:dyDescent="0.3">
      <c r="A47" s="2">
        <v>45207</v>
      </c>
      <c r="B47" s="1">
        <v>20000</v>
      </c>
      <c r="C47" s="1" t="s">
        <v>7</v>
      </c>
      <c r="D47" s="1">
        <v>7551.18</v>
      </c>
      <c r="E47" s="1" t="s">
        <v>8</v>
      </c>
      <c r="F47" s="1" t="s">
        <v>26</v>
      </c>
      <c r="G47" s="1" t="s">
        <v>28</v>
      </c>
    </row>
    <row r="48" spans="1:7" x14ac:dyDescent="0.3">
      <c r="A48" s="2">
        <v>45089</v>
      </c>
      <c r="B48" s="1">
        <v>60000</v>
      </c>
      <c r="C48" s="1" t="s">
        <v>14</v>
      </c>
      <c r="D48" s="1">
        <v>7204.87</v>
      </c>
      <c r="E48" s="1" t="s">
        <v>8</v>
      </c>
      <c r="F48" s="1" t="s">
        <v>13</v>
      </c>
      <c r="G48" s="1" t="s">
        <v>23</v>
      </c>
    </row>
    <row r="49" spans="1:7" x14ac:dyDescent="0.3">
      <c r="A49" s="2">
        <v>45211</v>
      </c>
      <c r="B49" s="1">
        <v>40000</v>
      </c>
      <c r="C49" s="1" t="s">
        <v>14</v>
      </c>
      <c r="D49" s="1">
        <v>582.6</v>
      </c>
      <c r="E49" s="1" t="s">
        <v>15</v>
      </c>
      <c r="F49" s="1" t="s">
        <v>18</v>
      </c>
      <c r="G49" s="1" t="s">
        <v>28</v>
      </c>
    </row>
    <row r="50" spans="1:7" x14ac:dyDescent="0.3">
      <c r="A50" s="2">
        <v>45112</v>
      </c>
      <c r="B50" s="1">
        <v>30000</v>
      </c>
      <c r="C50" s="1" t="s">
        <v>7</v>
      </c>
      <c r="D50" s="1">
        <v>5179.47</v>
      </c>
      <c r="E50" s="1" t="s">
        <v>8</v>
      </c>
      <c r="F50" s="1" t="s">
        <v>26</v>
      </c>
      <c r="G50" s="1" t="s">
        <v>29</v>
      </c>
    </row>
    <row r="51" spans="1:7" x14ac:dyDescent="0.3">
      <c r="A51" s="2">
        <v>45264</v>
      </c>
      <c r="B51" s="1">
        <v>40000</v>
      </c>
      <c r="C51" s="1" t="s">
        <v>7</v>
      </c>
      <c r="D51" s="1">
        <v>2124.02</v>
      </c>
      <c r="E51" s="1" t="s">
        <v>15</v>
      </c>
      <c r="F51" s="1" t="s">
        <v>32</v>
      </c>
      <c r="G51" s="1" t="s">
        <v>10</v>
      </c>
    </row>
    <row r="52" spans="1:7" x14ac:dyDescent="0.3">
      <c r="A52" s="2">
        <v>45053</v>
      </c>
      <c r="B52" s="1">
        <v>30000</v>
      </c>
      <c r="C52" s="1" t="s">
        <v>7</v>
      </c>
      <c r="D52" s="1">
        <v>4623.8</v>
      </c>
      <c r="E52" s="1" t="s">
        <v>8</v>
      </c>
      <c r="F52" s="1" t="s">
        <v>26</v>
      </c>
      <c r="G52" s="1" t="s">
        <v>17</v>
      </c>
    </row>
    <row r="53" spans="1:7" x14ac:dyDescent="0.3">
      <c r="A53" s="2">
        <v>44941</v>
      </c>
      <c r="B53" s="1">
        <v>80000</v>
      </c>
      <c r="C53" s="1" t="s">
        <v>14</v>
      </c>
      <c r="D53" s="1">
        <v>1542.85</v>
      </c>
      <c r="E53" s="1" t="s">
        <v>15</v>
      </c>
      <c r="F53" s="1" t="s">
        <v>16</v>
      </c>
      <c r="G53" s="1" t="s">
        <v>19</v>
      </c>
    </row>
    <row r="54" spans="1:7" x14ac:dyDescent="0.3">
      <c r="A54" s="2">
        <v>45134</v>
      </c>
      <c r="B54" s="1">
        <v>20000</v>
      </c>
      <c r="C54" s="1" t="s">
        <v>7</v>
      </c>
      <c r="D54" s="1">
        <v>9755.11</v>
      </c>
      <c r="E54" s="1" t="s">
        <v>8</v>
      </c>
      <c r="F54" s="1" t="s">
        <v>9</v>
      </c>
      <c r="G54" s="1" t="s">
        <v>29</v>
      </c>
    </row>
    <row r="55" spans="1:7" x14ac:dyDescent="0.3">
      <c r="A55" s="2">
        <v>45251</v>
      </c>
      <c r="B55" s="1">
        <v>90000</v>
      </c>
      <c r="C55" s="1" t="s">
        <v>7</v>
      </c>
      <c r="D55" s="1">
        <v>2251.41</v>
      </c>
      <c r="E55" s="1" t="s">
        <v>8</v>
      </c>
      <c r="F55" s="1" t="s">
        <v>9</v>
      </c>
      <c r="G55" s="1" t="s">
        <v>31</v>
      </c>
    </row>
    <row r="56" spans="1:7" x14ac:dyDescent="0.3">
      <c r="A56" s="2">
        <v>44972</v>
      </c>
      <c r="B56" s="1">
        <v>70000</v>
      </c>
      <c r="C56" s="1" t="s">
        <v>14</v>
      </c>
      <c r="D56" s="1">
        <v>8010.63</v>
      </c>
      <c r="E56" s="1" t="s">
        <v>8</v>
      </c>
      <c r="F56" s="1" t="s">
        <v>26</v>
      </c>
      <c r="G56" s="1" t="s">
        <v>24</v>
      </c>
    </row>
    <row r="57" spans="1:7" x14ac:dyDescent="0.3">
      <c r="A57" s="2">
        <v>45031</v>
      </c>
      <c r="B57" s="1">
        <v>80000</v>
      </c>
      <c r="C57" s="1" t="s">
        <v>7</v>
      </c>
      <c r="D57" s="1">
        <v>1292.24</v>
      </c>
      <c r="E57" s="1" t="s">
        <v>15</v>
      </c>
      <c r="F57" s="1" t="s">
        <v>32</v>
      </c>
      <c r="G57" s="1" t="s">
        <v>30</v>
      </c>
    </row>
    <row r="58" spans="1:7" x14ac:dyDescent="0.3">
      <c r="A58" s="2">
        <v>45157</v>
      </c>
      <c r="B58" s="1">
        <v>40000</v>
      </c>
      <c r="C58" s="1" t="s">
        <v>7</v>
      </c>
      <c r="D58" s="1">
        <v>5198.9399999999996</v>
      </c>
      <c r="E58" s="1" t="s">
        <v>8</v>
      </c>
      <c r="F58" s="1" t="s">
        <v>9</v>
      </c>
      <c r="G58" s="1" t="s">
        <v>21</v>
      </c>
    </row>
    <row r="59" spans="1:7" x14ac:dyDescent="0.3">
      <c r="A59" s="2">
        <v>45188</v>
      </c>
      <c r="B59" s="1">
        <v>130000</v>
      </c>
      <c r="C59" s="1" t="s">
        <v>7</v>
      </c>
      <c r="D59" s="1">
        <v>8263.19</v>
      </c>
      <c r="E59" s="1" t="s">
        <v>15</v>
      </c>
      <c r="F59" s="1" t="s">
        <v>32</v>
      </c>
      <c r="G59" s="1" t="s">
        <v>27</v>
      </c>
    </row>
    <row r="60" spans="1:7" x14ac:dyDescent="0.3">
      <c r="A60" s="2">
        <v>45018</v>
      </c>
      <c r="B60" s="1">
        <v>40000</v>
      </c>
      <c r="C60" s="1" t="s">
        <v>7</v>
      </c>
      <c r="D60" s="1">
        <v>2214.2199999999998</v>
      </c>
      <c r="E60" s="1" t="s">
        <v>8</v>
      </c>
      <c r="F60" s="1" t="s">
        <v>11</v>
      </c>
      <c r="G60" s="1" t="s">
        <v>30</v>
      </c>
    </row>
    <row r="61" spans="1:7" x14ac:dyDescent="0.3">
      <c r="A61" s="2">
        <v>45254</v>
      </c>
      <c r="B61" s="1">
        <v>60000</v>
      </c>
      <c r="C61" s="1" t="s">
        <v>14</v>
      </c>
      <c r="D61" s="1">
        <v>4138.2299999999996</v>
      </c>
      <c r="E61" s="1" t="s">
        <v>15</v>
      </c>
      <c r="F61" s="1" t="s">
        <v>20</v>
      </c>
      <c r="G61" s="1" t="s">
        <v>31</v>
      </c>
    </row>
    <row r="62" spans="1:7" x14ac:dyDescent="0.3">
      <c r="A62" s="2">
        <v>45030</v>
      </c>
      <c r="B62" s="1">
        <v>10000</v>
      </c>
      <c r="C62" s="1" t="s">
        <v>7</v>
      </c>
      <c r="D62" s="1">
        <v>5398.3</v>
      </c>
      <c r="E62" s="1" t="s">
        <v>15</v>
      </c>
      <c r="F62" s="1" t="s">
        <v>16</v>
      </c>
      <c r="G62" s="1" t="s">
        <v>30</v>
      </c>
    </row>
    <row r="63" spans="1:7" x14ac:dyDescent="0.3">
      <c r="A63" s="2">
        <v>44945</v>
      </c>
      <c r="B63" s="1">
        <v>10000</v>
      </c>
      <c r="C63" s="1" t="s">
        <v>7</v>
      </c>
      <c r="D63" s="1">
        <v>9949.5300000000007</v>
      </c>
      <c r="E63" s="1" t="s">
        <v>15</v>
      </c>
      <c r="F63" s="1" t="s">
        <v>32</v>
      </c>
      <c r="G63" s="1" t="s">
        <v>19</v>
      </c>
    </row>
    <row r="64" spans="1:7" x14ac:dyDescent="0.3">
      <c r="A64" s="2">
        <v>44970</v>
      </c>
      <c r="B64" s="1">
        <v>40000</v>
      </c>
      <c r="C64" s="1" t="s">
        <v>14</v>
      </c>
      <c r="D64" s="1">
        <v>4999.1000000000004</v>
      </c>
      <c r="E64" s="1" t="s">
        <v>8</v>
      </c>
      <c r="F64" s="1" t="s">
        <v>26</v>
      </c>
      <c r="G64" s="1" t="s">
        <v>24</v>
      </c>
    </row>
    <row r="65" spans="1:7" x14ac:dyDescent="0.3">
      <c r="A65" s="2">
        <v>45088</v>
      </c>
      <c r="B65" s="1">
        <v>60000</v>
      </c>
      <c r="C65" s="1" t="s">
        <v>14</v>
      </c>
      <c r="D65" s="1">
        <v>1506.78</v>
      </c>
      <c r="E65" s="1" t="s">
        <v>8</v>
      </c>
      <c r="F65" s="1" t="s">
        <v>22</v>
      </c>
      <c r="G65" s="1" t="s">
        <v>23</v>
      </c>
    </row>
    <row r="66" spans="1:7" x14ac:dyDescent="0.3">
      <c r="A66" s="2">
        <v>45009</v>
      </c>
      <c r="B66" s="1">
        <v>30000</v>
      </c>
      <c r="C66" s="1" t="s">
        <v>7</v>
      </c>
      <c r="D66" s="1">
        <v>8820.4599999999991</v>
      </c>
      <c r="E66" s="1" t="s">
        <v>15</v>
      </c>
      <c r="F66" s="1" t="s">
        <v>18</v>
      </c>
      <c r="G66" s="1" t="s">
        <v>12</v>
      </c>
    </row>
    <row r="67" spans="1:7" x14ac:dyDescent="0.3">
      <c r="A67" s="2">
        <v>45227</v>
      </c>
      <c r="B67" s="1">
        <v>30000</v>
      </c>
      <c r="C67" s="1" t="s">
        <v>14</v>
      </c>
      <c r="D67" s="1">
        <v>2955.31</v>
      </c>
      <c r="E67" s="1" t="s">
        <v>15</v>
      </c>
      <c r="F67" s="1" t="s">
        <v>20</v>
      </c>
      <c r="G67" s="1" t="s">
        <v>28</v>
      </c>
    </row>
    <row r="68" spans="1:7" x14ac:dyDescent="0.3">
      <c r="A68" s="2">
        <v>45213</v>
      </c>
      <c r="B68" s="1">
        <v>40000</v>
      </c>
      <c r="C68" s="1" t="s">
        <v>7</v>
      </c>
      <c r="D68" s="1">
        <v>7346.37</v>
      </c>
      <c r="E68" s="1" t="s">
        <v>15</v>
      </c>
      <c r="F68" s="1" t="s">
        <v>20</v>
      </c>
      <c r="G68" s="1" t="s">
        <v>28</v>
      </c>
    </row>
    <row r="69" spans="1:7" x14ac:dyDescent="0.3">
      <c r="A69" s="2">
        <v>44970</v>
      </c>
      <c r="B69" s="1">
        <v>30000</v>
      </c>
      <c r="C69" s="1" t="s">
        <v>7</v>
      </c>
      <c r="D69" s="1">
        <v>1945.35</v>
      </c>
      <c r="E69" s="1" t="s">
        <v>8</v>
      </c>
      <c r="F69" s="1" t="s">
        <v>9</v>
      </c>
      <c r="G69" s="1" t="s">
        <v>24</v>
      </c>
    </row>
    <row r="70" spans="1:7" x14ac:dyDescent="0.3">
      <c r="A70" s="2">
        <v>45092</v>
      </c>
      <c r="B70" s="1">
        <v>20000</v>
      </c>
      <c r="C70" s="1" t="s">
        <v>7</v>
      </c>
      <c r="D70" s="1">
        <v>3410.22</v>
      </c>
      <c r="E70" s="1" t="s">
        <v>15</v>
      </c>
      <c r="F70" s="1" t="s">
        <v>18</v>
      </c>
      <c r="G70" s="1" t="s">
        <v>23</v>
      </c>
    </row>
    <row r="71" spans="1:7" x14ac:dyDescent="0.3">
      <c r="A71" s="2">
        <v>45121</v>
      </c>
      <c r="B71" s="1">
        <v>10000</v>
      </c>
      <c r="C71" s="1" t="s">
        <v>7</v>
      </c>
      <c r="D71" s="1">
        <v>1160.17</v>
      </c>
      <c r="E71" s="1" t="s">
        <v>8</v>
      </c>
      <c r="F71" s="1" t="s">
        <v>13</v>
      </c>
      <c r="G71" s="1" t="s">
        <v>29</v>
      </c>
    </row>
    <row r="72" spans="1:7" x14ac:dyDescent="0.3">
      <c r="A72" s="2">
        <v>45048</v>
      </c>
      <c r="B72" s="1">
        <v>120000</v>
      </c>
      <c r="C72" s="1" t="s">
        <v>14</v>
      </c>
      <c r="D72" s="1">
        <v>1262.74</v>
      </c>
      <c r="E72" s="1" t="s">
        <v>15</v>
      </c>
      <c r="F72" s="1" t="s">
        <v>32</v>
      </c>
      <c r="G72" s="1" t="s">
        <v>17</v>
      </c>
    </row>
    <row r="73" spans="1:7" x14ac:dyDescent="0.3">
      <c r="A73" s="2">
        <v>45112</v>
      </c>
      <c r="B73" s="1">
        <v>10000</v>
      </c>
      <c r="C73" s="1" t="s">
        <v>7</v>
      </c>
      <c r="D73" s="1">
        <v>4226.16</v>
      </c>
      <c r="E73" s="1" t="s">
        <v>15</v>
      </c>
      <c r="F73" s="1" t="s">
        <v>16</v>
      </c>
      <c r="G73" s="1" t="s">
        <v>29</v>
      </c>
    </row>
    <row r="74" spans="1:7" x14ac:dyDescent="0.3">
      <c r="A74" s="2">
        <v>45200</v>
      </c>
      <c r="B74" s="1">
        <v>130000</v>
      </c>
      <c r="C74" s="1" t="s">
        <v>7</v>
      </c>
      <c r="D74" s="1">
        <v>5404.96</v>
      </c>
      <c r="E74" s="1" t="s">
        <v>15</v>
      </c>
      <c r="F74" s="1" t="s">
        <v>16</v>
      </c>
      <c r="G74" s="1" t="s">
        <v>28</v>
      </c>
    </row>
    <row r="75" spans="1:7" x14ac:dyDescent="0.3">
      <c r="A75" s="2">
        <v>45275</v>
      </c>
      <c r="B75" s="1">
        <v>20000</v>
      </c>
      <c r="C75" s="1" t="s">
        <v>7</v>
      </c>
      <c r="D75" s="1">
        <v>9774.9599999999991</v>
      </c>
      <c r="E75" s="1" t="s">
        <v>8</v>
      </c>
      <c r="F75" s="1" t="s">
        <v>11</v>
      </c>
      <c r="G75" s="1" t="s">
        <v>10</v>
      </c>
    </row>
    <row r="76" spans="1:7" x14ac:dyDescent="0.3">
      <c r="A76" s="2">
        <v>45202</v>
      </c>
      <c r="B76" s="1">
        <v>20000</v>
      </c>
      <c r="C76" s="1" t="s">
        <v>14</v>
      </c>
      <c r="D76" s="1">
        <v>5122.37</v>
      </c>
      <c r="E76" s="1" t="s">
        <v>8</v>
      </c>
      <c r="F76" s="1" t="s">
        <v>11</v>
      </c>
      <c r="G76" s="1" t="s">
        <v>28</v>
      </c>
    </row>
    <row r="77" spans="1:7" x14ac:dyDescent="0.3">
      <c r="A77" s="2">
        <v>45218</v>
      </c>
      <c r="B77" s="1">
        <v>130000</v>
      </c>
      <c r="C77" s="1" t="s">
        <v>14</v>
      </c>
      <c r="D77" s="1">
        <v>8809.0400000000009</v>
      </c>
      <c r="E77" s="1" t="s">
        <v>15</v>
      </c>
      <c r="F77" s="1" t="s">
        <v>25</v>
      </c>
      <c r="G77" s="1" t="s">
        <v>28</v>
      </c>
    </row>
    <row r="78" spans="1:7" x14ac:dyDescent="0.3">
      <c r="A78" s="2">
        <v>45206</v>
      </c>
      <c r="B78" s="1">
        <v>20000</v>
      </c>
      <c r="C78" s="1" t="s">
        <v>7</v>
      </c>
      <c r="D78" s="1">
        <v>143.41999999999999</v>
      </c>
      <c r="E78" s="1" t="s">
        <v>15</v>
      </c>
      <c r="F78" s="1" t="s">
        <v>16</v>
      </c>
      <c r="G78" s="1" t="s">
        <v>28</v>
      </c>
    </row>
    <row r="79" spans="1:7" x14ac:dyDescent="0.3">
      <c r="A79" s="2">
        <v>45260</v>
      </c>
      <c r="B79" s="1">
        <v>80000</v>
      </c>
      <c r="C79" s="1" t="s">
        <v>14</v>
      </c>
      <c r="D79" s="1">
        <v>6367.43</v>
      </c>
      <c r="E79" s="1" t="s">
        <v>15</v>
      </c>
      <c r="F79" s="1" t="s">
        <v>20</v>
      </c>
      <c r="G79" s="1" t="s">
        <v>31</v>
      </c>
    </row>
    <row r="80" spans="1:7" x14ac:dyDescent="0.3">
      <c r="A80" s="2">
        <v>45130</v>
      </c>
      <c r="B80" s="1">
        <v>80000</v>
      </c>
      <c r="C80" s="1" t="s">
        <v>14</v>
      </c>
      <c r="D80" s="1">
        <v>4811.71</v>
      </c>
      <c r="E80" s="1" t="s">
        <v>15</v>
      </c>
      <c r="F80" s="1" t="s">
        <v>25</v>
      </c>
      <c r="G80" s="1" t="s">
        <v>29</v>
      </c>
    </row>
    <row r="81" spans="1:7" x14ac:dyDescent="0.3">
      <c r="A81" s="2">
        <v>45102</v>
      </c>
      <c r="B81" s="1">
        <v>40000</v>
      </c>
      <c r="C81" s="1" t="s">
        <v>14</v>
      </c>
      <c r="D81" s="1">
        <v>1232.31</v>
      </c>
      <c r="E81" s="1" t="s">
        <v>8</v>
      </c>
      <c r="F81" s="1" t="s">
        <v>22</v>
      </c>
      <c r="G81" s="1" t="s">
        <v>23</v>
      </c>
    </row>
    <row r="82" spans="1:7" x14ac:dyDescent="0.3">
      <c r="A82" s="2">
        <v>44994</v>
      </c>
      <c r="B82" s="1">
        <v>30000</v>
      </c>
      <c r="C82" s="1" t="s">
        <v>7</v>
      </c>
      <c r="D82" s="1">
        <v>4506.6499999999996</v>
      </c>
      <c r="E82" s="1" t="s">
        <v>15</v>
      </c>
      <c r="F82" s="1" t="s">
        <v>18</v>
      </c>
      <c r="G82" s="1" t="s">
        <v>12</v>
      </c>
    </row>
    <row r="83" spans="1:7" x14ac:dyDescent="0.3">
      <c r="A83" s="2">
        <v>45269</v>
      </c>
      <c r="B83" s="1">
        <v>10000</v>
      </c>
      <c r="C83" s="1" t="s">
        <v>7</v>
      </c>
      <c r="D83" s="1">
        <v>7993.98</v>
      </c>
      <c r="E83" s="1" t="s">
        <v>8</v>
      </c>
      <c r="F83" s="1" t="s">
        <v>13</v>
      </c>
      <c r="G83" s="1" t="s">
        <v>10</v>
      </c>
    </row>
    <row r="84" spans="1:7" x14ac:dyDescent="0.3">
      <c r="A84" s="2">
        <v>45113</v>
      </c>
      <c r="B84" s="1">
        <v>30000</v>
      </c>
      <c r="C84" s="1" t="s">
        <v>7</v>
      </c>
      <c r="D84" s="1">
        <v>3248.6</v>
      </c>
      <c r="E84" s="1" t="s">
        <v>15</v>
      </c>
      <c r="F84" s="1" t="s">
        <v>16</v>
      </c>
      <c r="G84" s="1" t="s">
        <v>29</v>
      </c>
    </row>
    <row r="85" spans="1:7" x14ac:dyDescent="0.3">
      <c r="A85" s="2">
        <v>45223</v>
      </c>
      <c r="B85" s="1">
        <v>20000</v>
      </c>
      <c r="C85" s="1" t="s">
        <v>7</v>
      </c>
      <c r="D85" s="1">
        <v>9611.92</v>
      </c>
      <c r="E85" s="1" t="s">
        <v>8</v>
      </c>
      <c r="F85" s="1" t="s">
        <v>13</v>
      </c>
      <c r="G85" s="1" t="s">
        <v>28</v>
      </c>
    </row>
    <row r="86" spans="1:7" x14ac:dyDescent="0.3">
      <c r="A86" s="2">
        <v>45178</v>
      </c>
      <c r="B86" s="1">
        <v>40000</v>
      </c>
      <c r="C86" s="1" t="s">
        <v>14</v>
      </c>
      <c r="D86" s="1">
        <v>4117.92</v>
      </c>
      <c r="E86" s="1" t="s">
        <v>15</v>
      </c>
      <c r="F86" s="1" t="s">
        <v>16</v>
      </c>
      <c r="G86" s="1" t="s">
        <v>27</v>
      </c>
    </row>
    <row r="87" spans="1:7" x14ac:dyDescent="0.3">
      <c r="A87" s="2">
        <v>45276</v>
      </c>
      <c r="B87" s="1">
        <v>10000</v>
      </c>
      <c r="C87" s="1" t="s">
        <v>14</v>
      </c>
      <c r="D87" s="1">
        <v>1230.5</v>
      </c>
      <c r="E87" s="1" t="s">
        <v>15</v>
      </c>
      <c r="F87" s="1" t="s">
        <v>18</v>
      </c>
      <c r="G87" s="1" t="s">
        <v>10</v>
      </c>
    </row>
    <row r="88" spans="1:7" x14ac:dyDescent="0.3">
      <c r="A88" s="2">
        <v>45094</v>
      </c>
      <c r="B88" s="1">
        <v>130000</v>
      </c>
      <c r="C88" s="1" t="s">
        <v>7</v>
      </c>
      <c r="D88" s="1">
        <v>4020.03</v>
      </c>
      <c r="E88" s="1" t="s">
        <v>8</v>
      </c>
      <c r="F88" s="1" t="s">
        <v>26</v>
      </c>
      <c r="G88" s="1" t="s">
        <v>23</v>
      </c>
    </row>
    <row r="89" spans="1:7" x14ac:dyDescent="0.3">
      <c r="A89" s="2">
        <v>44931</v>
      </c>
      <c r="B89" s="1">
        <v>80000</v>
      </c>
      <c r="C89" s="1" t="s">
        <v>14</v>
      </c>
      <c r="D89" s="1">
        <v>3505.62</v>
      </c>
      <c r="E89" s="1" t="s">
        <v>8</v>
      </c>
      <c r="F89" s="1" t="s">
        <v>9</v>
      </c>
      <c r="G89" s="1" t="s">
        <v>19</v>
      </c>
    </row>
    <row r="90" spans="1:7" x14ac:dyDescent="0.3">
      <c r="A90" s="2">
        <v>45037</v>
      </c>
      <c r="B90" s="1">
        <v>30000</v>
      </c>
      <c r="C90" s="1" t="s">
        <v>7</v>
      </c>
      <c r="D90" s="1">
        <v>7862.98</v>
      </c>
      <c r="E90" s="1" t="s">
        <v>15</v>
      </c>
      <c r="F90" s="1" t="s">
        <v>18</v>
      </c>
      <c r="G90" s="1" t="s">
        <v>30</v>
      </c>
    </row>
    <row r="91" spans="1:7" x14ac:dyDescent="0.3">
      <c r="A91" s="2">
        <v>45109</v>
      </c>
      <c r="B91" s="1">
        <v>20000</v>
      </c>
      <c r="C91" s="1" t="s">
        <v>7</v>
      </c>
      <c r="D91" s="1">
        <v>6740.4</v>
      </c>
      <c r="E91" s="1" t="s">
        <v>15</v>
      </c>
      <c r="F91" s="1" t="s">
        <v>32</v>
      </c>
      <c r="G91" s="1" t="s">
        <v>29</v>
      </c>
    </row>
    <row r="92" spans="1:7" x14ac:dyDescent="0.3">
      <c r="A92" s="2">
        <v>45070</v>
      </c>
      <c r="B92" s="1">
        <v>30000</v>
      </c>
      <c r="C92" s="1" t="s">
        <v>7</v>
      </c>
      <c r="D92" s="1">
        <v>2447.0500000000002</v>
      </c>
      <c r="E92" s="1" t="s">
        <v>8</v>
      </c>
      <c r="F92" s="1" t="s">
        <v>13</v>
      </c>
      <c r="G92" s="1" t="s">
        <v>17</v>
      </c>
    </row>
    <row r="93" spans="1:7" x14ac:dyDescent="0.3">
      <c r="A93" s="2">
        <v>44985</v>
      </c>
      <c r="B93" s="1">
        <v>30000</v>
      </c>
      <c r="C93" s="1" t="s">
        <v>7</v>
      </c>
      <c r="D93" s="1">
        <v>5437.99</v>
      </c>
      <c r="E93" s="1" t="s">
        <v>8</v>
      </c>
      <c r="F93" s="1" t="s">
        <v>22</v>
      </c>
      <c r="G93" s="1" t="s">
        <v>24</v>
      </c>
    </row>
    <row r="94" spans="1:7" x14ac:dyDescent="0.3">
      <c r="A94" s="2">
        <v>45219</v>
      </c>
      <c r="B94" s="1">
        <v>60000</v>
      </c>
      <c r="C94" s="1" t="s">
        <v>14</v>
      </c>
      <c r="D94" s="1">
        <v>7184.05</v>
      </c>
      <c r="E94" s="1" t="s">
        <v>15</v>
      </c>
      <c r="F94" s="1" t="s">
        <v>18</v>
      </c>
      <c r="G94" s="1" t="s">
        <v>28</v>
      </c>
    </row>
    <row r="95" spans="1:7" x14ac:dyDescent="0.3">
      <c r="A95" s="2">
        <v>44952</v>
      </c>
      <c r="B95" s="1">
        <v>30000</v>
      </c>
      <c r="C95" s="1" t="s">
        <v>7</v>
      </c>
      <c r="D95" s="1">
        <v>5114.09</v>
      </c>
      <c r="E95" s="1" t="s">
        <v>8</v>
      </c>
      <c r="F95" s="1" t="s">
        <v>13</v>
      </c>
      <c r="G95" s="1" t="s">
        <v>19</v>
      </c>
    </row>
    <row r="96" spans="1:7" x14ac:dyDescent="0.3">
      <c r="A96" s="2">
        <v>45236</v>
      </c>
      <c r="B96" s="1">
        <v>30000</v>
      </c>
      <c r="C96" s="1" t="s">
        <v>14</v>
      </c>
      <c r="D96" s="1">
        <v>3090.79</v>
      </c>
      <c r="E96" s="1" t="s">
        <v>15</v>
      </c>
      <c r="F96" s="1" t="s">
        <v>18</v>
      </c>
      <c r="G96" s="1" t="s">
        <v>31</v>
      </c>
    </row>
    <row r="97" spans="1:7" x14ac:dyDescent="0.3">
      <c r="A97" s="2">
        <v>44944</v>
      </c>
      <c r="B97" s="1">
        <v>90000</v>
      </c>
      <c r="C97" s="1" t="s">
        <v>7</v>
      </c>
      <c r="D97" s="1">
        <v>8415.9500000000007</v>
      </c>
      <c r="E97" s="1" t="s">
        <v>8</v>
      </c>
      <c r="F97" s="1" t="s">
        <v>11</v>
      </c>
      <c r="G97" s="1" t="s">
        <v>19</v>
      </c>
    </row>
    <row r="98" spans="1:7" x14ac:dyDescent="0.3">
      <c r="A98" s="2">
        <v>44961</v>
      </c>
      <c r="B98" s="1">
        <v>30000</v>
      </c>
      <c r="C98" s="1" t="s">
        <v>7</v>
      </c>
      <c r="D98" s="1">
        <v>3598.79</v>
      </c>
      <c r="E98" s="1" t="s">
        <v>15</v>
      </c>
      <c r="F98" s="1" t="s">
        <v>16</v>
      </c>
      <c r="G98" s="1" t="s">
        <v>24</v>
      </c>
    </row>
    <row r="99" spans="1:7" x14ac:dyDescent="0.3">
      <c r="A99" s="2">
        <v>45028</v>
      </c>
      <c r="B99" s="1">
        <v>40000</v>
      </c>
      <c r="C99" s="1" t="s">
        <v>7</v>
      </c>
      <c r="D99" s="1">
        <v>9044.7800000000007</v>
      </c>
      <c r="E99" s="1" t="s">
        <v>15</v>
      </c>
      <c r="F99" s="1" t="s">
        <v>20</v>
      </c>
      <c r="G99" s="1" t="s">
        <v>30</v>
      </c>
    </row>
    <row r="100" spans="1:7" x14ac:dyDescent="0.3">
      <c r="A100" s="2">
        <v>45169</v>
      </c>
      <c r="B100" s="1">
        <v>40000</v>
      </c>
      <c r="C100" s="1" t="s">
        <v>7</v>
      </c>
      <c r="D100" s="1">
        <v>7261.86</v>
      </c>
      <c r="E100" s="1" t="s">
        <v>15</v>
      </c>
      <c r="F100" s="1" t="s">
        <v>16</v>
      </c>
      <c r="G100" s="1" t="s">
        <v>21</v>
      </c>
    </row>
    <row r="101" spans="1:7" x14ac:dyDescent="0.3">
      <c r="A101" s="2">
        <v>45079</v>
      </c>
      <c r="B101" s="1">
        <v>20000</v>
      </c>
      <c r="C101" s="1" t="s">
        <v>7</v>
      </c>
      <c r="D101" s="1">
        <v>4900.72</v>
      </c>
      <c r="E101" s="1" t="s">
        <v>15</v>
      </c>
      <c r="F101" s="1" t="s">
        <v>20</v>
      </c>
      <c r="G101" s="1" t="s">
        <v>23</v>
      </c>
    </row>
    <row r="102" spans="1:7" x14ac:dyDescent="0.3">
      <c r="A102" s="2">
        <v>45054</v>
      </c>
      <c r="B102" s="1">
        <v>10000</v>
      </c>
      <c r="C102" s="1" t="s">
        <v>7</v>
      </c>
      <c r="D102" s="1">
        <v>2188.94</v>
      </c>
      <c r="E102" s="1" t="s">
        <v>8</v>
      </c>
      <c r="F102" s="1" t="s">
        <v>9</v>
      </c>
      <c r="G102" s="1" t="s">
        <v>17</v>
      </c>
    </row>
    <row r="103" spans="1:7" x14ac:dyDescent="0.3">
      <c r="A103" s="2">
        <v>44961</v>
      </c>
      <c r="B103" s="1">
        <v>60000</v>
      </c>
      <c r="C103" s="1" t="s">
        <v>14</v>
      </c>
      <c r="D103" s="1">
        <v>261.64999999999998</v>
      </c>
      <c r="E103" s="1" t="s">
        <v>15</v>
      </c>
      <c r="F103" s="1" t="s">
        <v>32</v>
      </c>
      <c r="G103" s="1" t="s">
        <v>24</v>
      </c>
    </row>
    <row r="104" spans="1:7" x14ac:dyDescent="0.3">
      <c r="A104" s="2">
        <v>45223</v>
      </c>
      <c r="B104" s="1">
        <v>10000</v>
      </c>
      <c r="C104" s="1" t="s">
        <v>7</v>
      </c>
      <c r="D104" s="1">
        <v>6705.85</v>
      </c>
      <c r="E104" s="1" t="s">
        <v>15</v>
      </c>
      <c r="F104" s="1" t="s">
        <v>18</v>
      </c>
      <c r="G104" s="1" t="s">
        <v>28</v>
      </c>
    </row>
    <row r="105" spans="1:7" x14ac:dyDescent="0.3">
      <c r="A105" s="2">
        <v>45212</v>
      </c>
      <c r="B105" s="1">
        <v>60000</v>
      </c>
      <c r="C105" s="1" t="s">
        <v>14</v>
      </c>
      <c r="D105" s="1">
        <v>7442.38</v>
      </c>
      <c r="E105" s="1" t="s">
        <v>8</v>
      </c>
      <c r="F105" s="1" t="s">
        <v>11</v>
      </c>
      <c r="G105" s="1" t="s">
        <v>28</v>
      </c>
    </row>
    <row r="106" spans="1:7" x14ac:dyDescent="0.3">
      <c r="A106" s="2">
        <v>44947</v>
      </c>
      <c r="B106" s="1">
        <v>70000</v>
      </c>
      <c r="C106" s="1" t="s">
        <v>14</v>
      </c>
      <c r="D106" s="1">
        <v>9547.4599999999991</v>
      </c>
      <c r="E106" s="1" t="s">
        <v>15</v>
      </c>
      <c r="F106" s="1" t="s">
        <v>25</v>
      </c>
      <c r="G106" s="1" t="s">
        <v>19</v>
      </c>
    </row>
    <row r="107" spans="1:7" x14ac:dyDescent="0.3">
      <c r="A107" s="2">
        <v>45239</v>
      </c>
      <c r="B107" s="1">
        <v>30000</v>
      </c>
      <c r="C107" s="1" t="s">
        <v>7</v>
      </c>
      <c r="D107" s="1">
        <v>2105.4299999999998</v>
      </c>
      <c r="E107" s="1" t="s">
        <v>15</v>
      </c>
      <c r="F107" s="1" t="s">
        <v>32</v>
      </c>
      <c r="G107" s="1" t="s">
        <v>31</v>
      </c>
    </row>
    <row r="108" spans="1:7" x14ac:dyDescent="0.3">
      <c r="A108" s="2">
        <v>45275</v>
      </c>
      <c r="B108" s="1">
        <v>70000</v>
      </c>
      <c r="C108" s="1" t="s">
        <v>14</v>
      </c>
      <c r="D108" s="1">
        <v>8791.7199999999993</v>
      </c>
      <c r="E108" s="1" t="s">
        <v>15</v>
      </c>
      <c r="F108" s="1" t="s">
        <v>32</v>
      </c>
      <c r="G108" s="1" t="s">
        <v>10</v>
      </c>
    </row>
    <row r="109" spans="1:7" x14ac:dyDescent="0.3">
      <c r="A109" s="2">
        <v>45243</v>
      </c>
      <c r="B109" s="1">
        <v>40000</v>
      </c>
      <c r="C109" s="1" t="s">
        <v>14</v>
      </c>
      <c r="D109" s="1">
        <v>7806.7</v>
      </c>
      <c r="E109" s="1" t="s">
        <v>15</v>
      </c>
      <c r="F109" s="1" t="s">
        <v>20</v>
      </c>
      <c r="G109" s="1" t="s">
        <v>31</v>
      </c>
    </row>
    <row r="110" spans="1:7" x14ac:dyDescent="0.3">
      <c r="A110" s="2">
        <v>45005</v>
      </c>
      <c r="B110" s="1">
        <v>40000</v>
      </c>
      <c r="C110" s="1" t="s">
        <v>7</v>
      </c>
      <c r="D110" s="1">
        <v>3225.87</v>
      </c>
      <c r="E110" s="1" t="s">
        <v>8</v>
      </c>
      <c r="F110" s="1" t="s">
        <v>13</v>
      </c>
      <c r="G110" s="1" t="s">
        <v>12</v>
      </c>
    </row>
    <row r="111" spans="1:7" x14ac:dyDescent="0.3">
      <c r="A111" s="2">
        <v>45090</v>
      </c>
      <c r="B111" s="1">
        <v>40000</v>
      </c>
      <c r="C111" s="1" t="s">
        <v>7</v>
      </c>
      <c r="D111" s="1">
        <v>763.25</v>
      </c>
      <c r="E111" s="1" t="s">
        <v>8</v>
      </c>
      <c r="F111" s="1" t="s">
        <v>11</v>
      </c>
      <c r="G111" s="1" t="s">
        <v>23</v>
      </c>
    </row>
    <row r="112" spans="1:7" x14ac:dyDescent="0.3">
      <c r="A112" s="2">
        <v>44974</v>
      </c>
      <c r="B112" s="1">
        <v>30000</v>
      </c>
      <c r="C112" s="1" t="s">
        <v>7</v>
      </c>
      <c r="D112" s="1">
        <v>4796.78</v>
      </c>
      <c r="E112" s="1" t="s">
        <v>15</v>
      </c>
      <c r="F112" s="1" t="s">
        <v>32</v>
      </c>
      <c r="G112" s="1" t="s">
        <v>24</v>
      </c>
    </row>
    <row r="113" spans="1:7" x14ac:dyDescent="0.3">
      <c r="A113" s="2">
        <v>45153</v>
      </c>
      <c r="B113" s="1">
        <v>70000</v>
      </c>
      <c r="C113" s="1" t="s">
        <v>14</v>
      </c>
      <c r="D113" s="1">
        <v>5465.05</v>
      </c>
      <c r="E113" s="1" t="s">
        <v>15</v>
      </c>
      <c r="F113" s="1" t="s">
        <v>16</v>
      </c>
      <c r="G113" s="1" t="s">
        <v>21</v>
      </c>
    </row>
    <row r="114" spans="1:7" x14ac:dyDescent="0.3">
      <c r="A114" s="2">
        <v>45005</v>
      </c>
      <c r="B114" s="1">
        <v>40000</v>
      </c>
      <c r="C114" s="1" t="s">
        <v>7</v>
      </c>
      <c r="D114" s="1">
        <v>502.56</v>
      </c>
      <c r="E114" s="1" t="s">
        <v>8</v>
      </c>
      <c r="F114" s="1" t="s">
        <v>11</v>
      </c>
      <c r="G114" s="1" t="s">
        <v>12</v>
      </c>
    </row>
    <row r="115" spans="1:7" x14ac:dyDescent="0.3">
      <c r="A115" s="2">
        <v>44967</v>
      </c>
      <c r="B115" s="1">
        <v>130000</v>
      </c>
      <c r="C115" s="1" t="s">
        <v>14</v>
      </c>
      <c r="D115" s="1">
        <v>9393.25</v>
      </c>
      <c r="E115" s="1" t="s">
        <v>15</v>
      </c>
      <c r="F115" s="1" t="s">
        <v>18</v>
      </c>
      <c r="G115" s="1" t="s">
        <v>24</v>
      </c>
    </row>
    <row r="116" spans="1:7" x14ac:dyDescent="0.3">
      <c r="A116" s="2">
        <v>45286</v>
      </c>
      <c r="B116" s="1">
        <v>20000</v>
      </c>
      <c r="C116" s="1" t="s">
        <v>14</v>
      </c>
      <c r="D116" s="1">
        <v>5626.15</v>
      </c>
      <c r="E116" s="1" t="s">
        <v>8</v>
      </c>
      <c r="F116" s="1" t="s">
        <v>9</v>
      </c>
      <c r="G116" s="1" t="s">
        <v>10</v>
      </c>
    </row>
    <row r="117" spans="1:7" x14ac:dyDescent="0.3">
      <c r="A117" s="2">
        <v>45205</v>
      </c>
      <c r="B117" s="1">
        <v>10000</v>
      </c>
      <c r="C117" s="1" t="s">
        <v>7</v>
      </c>
      <c r="D117" s="1">
        <v>962.47</v>
      </c>
      <c r="E117" s="1" t="s">
        <v>8</v>
      </c>
      <c r="F117" s="1" t="s">
        <v>11</v>
      </c>
      <c r="G117" s="1" t="s">
        <v>28</v>
      </c>
    </row>
    <row r="118" spans="1:7" x14ac:dyDescent="0.3">
      <c r="A118" s="2">
        <v>45075</v>
      </c>
      <c r="B118" s="1">
        <v>30000</v>
      </c>
      <c r="C118" s="1" t="s">
        <v>7</v>
      </c>
      <c r="D118" s="1">
        <v>6856.31</v>
      </c>
      <c r="E118" s="1" t="s">
        <v>8</v>
      </c>
      <c r="F118" s="1" t="s">
        <v>9</v>
      </c>
      <c r="G118" s="1" t="s">
        <v>17</v>
      </c>
    </row>
    <row r="119" spans="1:7" x14ac:dyDescent="0.3">
      <c r="A119" s="2">
        <v>45248</v>
      </c>
      <c r="B119" s="1">
        <v>20000</v>
      </c>
      <c r="C119" s="1" t="s">
        <v>7</v>
      </c>
      <c r="D119" s="1">
        <v>5260.68</v>
      </c>
      <c r="E119" s="1" t="s">
        <v>8</v>
      </c>
      <c r="F119" s="1" t="s">
        <v>26</v>
      </c>
      <c r="G119" s="1" t="s">
        <v>31</v>
      </c>
    </row>
    <row r="120" spans="1:7" x14ac:dyDescent="0.3">
      <c r="A120" s="2">
        <v>45134</v>
      </c>
      <c r="B120" s="1">
        <v>80000</v>
      </c>
      <c r="C120" s="1" t="s">
        <v>7</v>
      </c>
      <c r="D120" s="1">
        <v>9606.6</v>
      </c>
      <c r="E120" s="1" t="s">
        <v>15</v>
      </c>
      <c r="F120" s="1" t="s">
        <v>32</v>
      </c>
      <c r="G120" s="1" t="s">
        <v>29</v>
      </c>
    </row>
    <row r="121" spans="1:7" x14ac:dyDescent="0.3">
      <c r="A121" s="2">
        <v>44929</v>
      </c>
      <c r="B121" s="1">
        <v>30000</v>
      </c>
      <c r="C121" s="1" t="s">
        <v>7</v>
      </c>
      <c r="D121" s="1">
        <v>6671.76</v>
      </c>
      <c r="E121" s="1" t="s">
        <v>8</v>
      </c>
      <c r="F121" s="1" t="s">
        <v>9</v>
      </c>
      <c r="G121" s="1" t="s">
        <v>19</v>
      </c>
    </row>
    <row r="122" spans="1:7" x14ac:dyDescent="0.3">
      <c r="A122" s="2">
        <v>45095</v>
      </c>
      <c r="B122" s="1">
        <v>40000</v>
      </c>
      <c r="C122" s="1" t="s">
        <v>14</v>
      </c>
      <c r="D122" s="1">
        <v>9557.09</v>
      </c>
      <c r="E122" s="1" t="s">
        <v>8</v>
      </c>
      <c r="F122" s="1" t="s">
        <v>11</v>
      </c>
      <c r="G122" s="1" t="s">
        <v>23</v>
      </c>
    </row>
    <row r="123" spans="1:7" x14ac:dyDescent="0.3">
      <c r="A123" s="2">
        <v>45187</v>
      </c>
      <c r="B123" s="1">
        <v>150000</v>
      </c>
      <c r="C123" s="1" t="s">
        <v>7</v>
      </c>
      <c r="D123" s="1">
        <v>8281.51</v>
      </c>
      <c r="E123" s="1" t="s">
        <v>8</v>
      </c>
      <c r="F123" s="1" t="s">
        <v>9</v>
      </c>
      <c r="G123" s="1" t="s">
        <v>27</v>
      </c>
    </row>
    <row r="124" spans="1:7" x14ac:dyDescent="0.3">
      <c r="A124" s="2">
        <v>45163</v>
      </c>
      <c r="B124" s="1">
        <v>80000</v>
      </c>
      <c r="C124" s="1" t="s">
        <v>14</v>
      </c>
      <c r="D124" s="1">
        <v>2996.1</v>
      </c>
      <c r="E124" s="1" t="s">
        <v>8</v>
      </c>
      <c r="F124" s="1" t="s">
        <v>9</v>
      </c>
      <c r="G124" s="1" t="s">
        <v>21</v>
      </c>
    </row>
    <row r="125" spans="1:7" x14ac:dyDescent="0.3">
      <c r="A125" s="2">
        <v>44948</v>
      </c>
      <c r="B125" s="1">
        <v>100000</v>
      </c>
      <c r="C125" s="1" t="s">
        <v>7</v>
      </c>
      <c r="D125" s="1">
        <v>423.22</v>
      </c>
      <c r="E125" s="1" t="s">
        <v>15</v>
      </c>
      <c r="F125" s="1" t="s">
        <v>16</v>
      </c>
      <c r="G125" s="1" t="s">
        <v>19</v>
      </c>
    </row>
    <row r="126" spans="1:7" x14ac:dyDescent="0.3">
      <c r="A126" s="2">
        <v>45081</v>
      </c>
      <c r="B126" s="1">
        <v>40000</v>
      </c>
      <c r="C126" s="1" t="s">
        <v>7</v>
      </c>
      <c r="D126" s="1">
        <v>7860.13</v>
      </c>
      <c r="E126" s="1" t="s">
        <v>15</v>
      </c>
      <c r="F126" s="1" t="s">
        <v>16</v>
      </c>
      <c r="G126" s="1" t="s">
        <v>23</v>
      </c>
    </row>
    <row r="127" spans="1:7" x14ac:dyDescent="0.3">
      <c r="A127" s="2">
        <v>45092</v>
      </c>
      <c r="B127" s="1">
        <v>80000</v>
      </c>
      <c r="C127" s="1" t="s">
        <v>14</v>
      </c>
      <c r="D127" s="1">
        <v>3196.91</v>
      </c>
      <c r="E127" s="1" t="s">
        <v>15</v>
      </c>
      <c r="F127" s="1" t="s">
        <v>20</v>
      </c>
      <c r="G127" s="1" t="s">
        <v>23</v>
      </c>
    </row>
    <row r="128" spans="1:7" x14ac:dyDescent="0.3">
      <c r="A128" s="2">
        <v>45135</v>
      </c>
      <c r="B128" s="1">
        <v>30000</v>
      </c>
      <c r="C128" s="1" t="s">
        <v>7</v>
      </c>
      <c r="D128" s="1">
        <v>2424.63</v>
      </c>
      <c r="E128" s="1" t="s">
        <v>15</v>
      </c>
      <c r="F128" s="1" t="s">
        <v>18</v>
      </c>
      <c r="G128" s="1" t="s">
        <v>29</v>
      </c>
    </row>
    <row r="129" spans="1:7" x14ac:dyDescent="0.3">
      <c r="A129" s="2">
        <v>45240</v>
      </c>
      <c r="B129" s="1">
        <v>30000</v>
      </c>
      <c r="C129" s="1" t="s">
        <v>7</v>
      </c>
      <c r="D129" s="1">
        <v>8150.91</v>
      </c>
      <c r="E129" s="1" t="s">
        <v>8</v>
      </c>
      <c r="F129" s="1" t="s">
        <v>11</v>
      </c>
      <c r="G129" s="1" t="s">
        <v>31</v>
      </c>
    </row>
    <row r="130" spans="1:7" x14ac:dyDescent="0.3">
      <c r="A130" s="2">
        <v>45194</v>
      </c>
      <c r="B130" s="1">
        <v>10000</v>
      </c>
      <c r="C130" s="1" t="s">
        <v>7</v>
      </c>
      <c r="D130" s="1">
        <v>682.25</v>
      </c>
      <c r="E130" s="1" t="s">
        <v>15</v>
      </c>
      <c r="F130" s="1" t="s">
        <v>16</v>
      </c>
      <c r="G130" s="1" t="s">
        <v>27</v>
      </c>
    </row>
    <row r="131" spans="1:7" x14ac:dyDescent="0.3">
      <c r="A131" s="2">
        <v>45121</v>
      </c>
      <c r="B131" s="1">
        <v>10000</v>
      </c>
      <c r="C131" s="1" t="s">
        <v>7</v>
      </c>
      <c r="D131" s="1">
        <v>4935.8900000000003</v>
      </c>
      <c r="E131" s="1" t="s">
        <v>15</v>
      </c>
      <c r="F131" s="1" t="s">
        <v>16</v>
      </c>
      <c r="G131" s="1" t="s">
        <v>29</v>
      </c>
    </row>
    <row r="132" spans="1:7" x14ac:dyDescent="0.3">
      <c r="A132" s="2">
        <v>45198</v>
      </c>
      <c r="B132" s="1">
        <v>60000</v>
      </c>
      <c r="C132" s="1" t="s">
        <v>14</v>
      </c>
      <c r="D132" s="1">
        <v>3018.76</v>
      </c>
      <c r="E132" s="1" t="s">
        <v>15</v>
      </c>
      <c r="F132" s="1" t="s">
        <v>25</v>
      </c>
      <c r="G132" s="1" t="s">
        <v>27</v>
      </c>
    </row>
    <row r="133" spans="1:7" x14ac:dyDescent="0.3">
      <c r="A133" s="2">
        <v>44982</v>
      </c>
      <c r="B133" s="1">
        <v>90000</v>
      </c>
      <c r="C133" s="1" t="s">
        <v>7</v>
      </c>
      <c r="D133" s="1">
        <v>8202.52</v>
      </c>
      <c r="E133" s="1" t="s">
        <v>8</v>
      </c>
      <c r="F133" s="1" t="s">
        <v>26</v>
      </c>
      <c r="G133" s="1" t="s">
        <v>24</v>
      </c>
    </row>
    <row r="134" spans="1:7" x14ac:dyDescent="0.3">
      <c r="A134" s="2">
        <v>45098</v>
      </c>
      <c r="B134" s="1">
        <v>40000</v>
      </c>
      <c r="C134" s="1" t="s">
        <v>7</v>
      </c>
      <c r="D134" s="1">
        <v>3820.43</v>
      </c>
      <c r="E134" s="1" t="s">
        <v>15</v>
      </c>
      <c r="F134" s="1" t="s">
        <v>32</v>
      </c>
      <c r="G134" s="1" t="s">
        <v>23</v>
      </c>
    </row>
    <row r="135" spans="1:7" x14ac:dyDescent="0.3">
      <c r="A135" s="2">
        <v>44959</v>
      </c>
      <c r="B135" s="1">
        <v>40000</v>
      </c>
      <c r="C135" s="1" t="s">
        <v>14</v>
      </c>
      <c r="D135" s="1">
        <v>3096.79</v>
      </c>
      <c r="E135" s="1" t="s">
        <v>15</v>
      </c>
      <c r="F135" s="1" t="s">
        <v>32</v>
      </c>
      <c r="G135" s="1" t="s">
        <v>24</v>
      </c>
    </row>
    <row r="136" spans="1:7" x14ac:dyDescent="0.3">
      <c r="A136" s="2">
        <v>45187</v>
      </c>
      <c r="B136" s="1">
        <v>30000</v>
      </c>
      <c r="C136" s="1" t="s">
        <v>7</v>
      </c>
      <c r="D136" s="1">
        <v>6899.38</v>
      </c>
      <c r="E136" s="1" t="s">
        <v>15</v>
      </c>
      <c r="F136" s="1" t="s">
        <v>25</v>
      </c>
      <c r="G136" s="1" t="s">
        <v>27</v>
      </c>
    </row>
    <row r="137" spans="1:7" x14ac:dyDescent="0.3">
      <c r="A137" s="2">
        <v>45180</v>
      </c>
      <c r="B137" s="1">
        <v>10000</v>
      </c>
      <c r="C137" s="1" t="s">
        <v>7</v>
      </c>
      <c r="D137" s="1">
        <v>6883.28</v>
      </c>
      <c r="E137" s="1" t="s">
        <v>8</v>
      </c>
      <c r="F137" s="1" t="s">
        <v>26</v>
      </c>
      <c r="G137" s="1" t="s">
        <v>27</v>
      </c>
    </row>
    <row r="138" spans="1:7" x14ac:dyDescent="0.3">
      <c r="A138" s="2">
        <v>45090</v>
      </c>
      <c r="B138" s="1">
        <v>10000</v>
      </c>
      <c r="C138" s="1" t="s">
        <v>7</v>
      </c>
      <c r="D138" s="1">
        <v>6085.62</v>
      </c>
      <c r="E138" s="1" t="s">
        <v>15</v>
      </c>
      <c r="F138" s="1" t="s">
        <v>20</v>
      </c>
      <c r="G138" s="1" t="s">
        <v>23</v>
      </c>
    </row>
    <row r="139" spans="1:7" x14ac:dyDescent="0.3">
      <c r="A139" s="2">
        <v>45219</v>
      </c>
      <c r="B139" s="1">
        <v>20000</v>
      </c>
      <c r="C139" s="1" t="s">
        <v>7</v>
      </c>
      <c r="D139" s="1">
        <v>3994.02</v>
      </c>
      <c r="E139" s="1" t="s">
        <v>15</v>
      </c>
      <c r="F139" s="1" t="s">
        <v>32</v>
      </c>
      <c r="G139" s="1" t="s">
        <v>28</v>
      </c>
    </row>
    <row r="140" spans="1:7" x14ac:dyDescent="0.3">
      <c r="A140" s="2">
        <v>45228</v>
      </c>
      <c r="B140" s="1">
        <v>20000</v>
      </c>
      <c r="C140" s="1" t="s">
        <v>14</v>
      </c>
      <c r="D140" s="1">
        <v>6471.64</v>
      </c>
      <c r="E140" s="1" t="s">
        <v>15</v>
      </c>
      <c r="F140" s="1" t="s">
        <v>18</v>
      </c>
      <c r="G140" s="1" t="s">
        <v>28</v>
      </c>
    </row>
    <row r="141" spans="1:7" x14ac:dyDescent="0.3">
      <c r="A141" s="2">
        <v>45076</v>
      </c>
      <c r="B141" s="1">
        <v>30000</v>
      </c>
      <c r="C141" s="1" t="s">
        <v>14</v>
      </c>
      <c r="D141" s="1">
        <v>6753.79</v>
      </c>
      <c r="E141" s="1" t="s">
        <v>8</v>
      </c>
      <c r="F141" s="1" t="s">
        <v>13</v>
      </c>
      <c r="G141" s="1" t="s">
        <v>17</v>
      </c>
    </row>
    <row r="142" spans="1:7" x14ac:dyDescent="0.3">
      <c r="A142" s="2">
        <v>45029</v>
      </c>
      <c r="B142" s="1">
        <v>40000</v>
      </c>
      <c r="C142" s="1" t="s">
        <v>7</v>
      </c>
      <c r="D142" s="1">
        <v>7414.48</v>
      </c>
      <c r="E142" s="1" t="s">
        <v>8</v>
      </c>
      <c r="F142" s="1" t="s">
        <v>9</v>
      </c>
      <c r="G142" s="1" t="s">
        <v>30</v>
      </c>
    </row>
    <row r="143" spans="1:7" x14ac:dyDescent="0.3">
      <c r="A143" s="2">
        <v>45081</v>
      </c>
      <c r="B143" s="1">
        <v>10000</v>
      </c>
      <c r="C143" s="1" t="s">
        <v>14</v>
      </c>
      <c r="D143" s="1">
        <v>6242.39</v>
      </c>
      <c r="E143" s="1" t="s">
        <v>15</v>
      </c>
      <c r="F143" s="1" t="s">
        <v>20</v>
      </c>
      <c r="G143" s="1" t="s">
        <v>23</v>
      </c>
    </row>
    <row r="144" spans="1:7" x14ac:dyDescent="0.3">
      <c r="A144" s="2">
        <v>45154</v>
      </c>
      <c r="B144" s="1">
        <v>40000</v>
      </c>
      <c r="C144" s="1" t="s">
        <v>7</v>
      </c>
      <c r="D144" s="1">
        <v>2860.72</v>
      </c>
      <c r="E144" s="1" t="s">
        <v>15</v>
      </c>
      <c r="F144" s="1" t="s">
        <v>32</v>
      </c>
      <c r="G144" s="1" t="s">
        <v>21</v>
      </c>
    </row>
    <row r="145" spans="1:7" x14ac:dyDescent="0.3">
      <c r="A145" s="2">
        <v>45127</v>
      </c>
      <c r="B145" s="1">
        <v>80000</v>
      </c>
      <c r="C145" s="1" t="s">
        <v>14</v>
      </c>
      <c r="D145" s="1">
        <v>6431.08</v>
      </c>
      <c r="E145" s="1" t="s">
        <v>15</v>
      </c>
      <c r="F145" s="1" t="s">
        <v>16</v>
      </c>
      <c r="G145" s="1" t="s">
        <v>29</v>
      </c>
    </row>
    <row r="146" spans="1:7" x14ac:dyDescent="0.3">
      <c r="A146" s="2">
        <v>44956</v>
      </c>
      <c r="B146" s="1">
        <v>30000</v>
      </c>
      <c r="C146" s="1" t="s">
        <v>7</v>
      </c>
      <c r="D146" s="1">
        <v>2008.54</v>
      </c>
      <c r="E146" s="1" t="s">
        <v>15</v>
      </c>
      <c r="F146" s="1" t="s">
        <v>32</v>
      </c>
      <c r="G146" s="1" t="s">
        <v>19</v>
      </c>
    </row>
    <row r="147" spans="1:7" x14ac:dyDescent="0.3">
      <c r="A147" s="2">
        <v>45182</v>
      </c>
      <c r="B147" s="1">
        <v>40000</v>
      </c>
      <c r="C147" s="1" t="s">
        <v>7</v>
      </c>
      <c r="D147" s="1">
        <v>8888.7900000000009</v>
      </c>
      <c r="E147" s="1" t="s">
        <v>15</v>
      </c>
      <c r="F147" s="1" t="s">
        <v>20</v>
      </c>
      <c r="G147" s="1" t="s">
        <v>27</v>
      </c>
    </row>
    <row r="148" spans="1:7" x14ac:dyDescent="0.3">
      <c r="A148" s="2">
        <v>45250</v>
      </c>
      <c r="B148" s="1">
        <v>40000</v>
      </c>
      <c r="C148" s="1" t="s">
        <v>7</v>
      </c>
      <c r="D148" s="1">
        <v>8810.82</v>
      </c>
      <c r="E148" s="1" t="s">
        <v>15</v>
      </c>
      <c r="F148" s="1" t="s">
        <v>25</v>
      </c>
      <c r="G148" s="1" t="s">
        <v>31</v>
      </c>
    </row>
    <row r="149" spans="1:7" x14ac:dyDescent="0.3">
      <c r="A149" s="2">
        <v>44986</v>
      </c>
      <c r="B149" s="1">
        <v>40000</v>
      </c>
      <c r="C149" s="1" t="s">
        <v>7</v>
      </c>
      <c r="D149" s="1">
        <v>386.56</v>
      </c>
      <c r="E149" s="1" t="s">
        <v>15</v>
      </c>
      <c r="F149" s="1" t="s">
        <v>25</v>
      </c>
      <c r="G149" s="1" t="s">
        <v>12</v>
      </c>
    </row>
    <row r="150" spans="1:7" x14ac:dyDescent="0.3">
      <c r="A150" s="2">
        <v>44958</v>
      </c>
      <c r="B150" s="1">
        <v>20000</v>
      </c>
      <c r="C150" s="1" t="s">
        <v>14</v>
      </c>
      <c r="D150" s="1">
        <v>5262.99</v>
      </c>
      <c r="E150" s="1" t="s">
        <v>15</v>
      </c>
      <c r="F150" s="1" t="s">
        <v>25</v>
      </c>
      <c r="G150" s="1" t="s">
        <v>24</v>
      </c>
    </row>
    <row r="151" spans="1:7" x14ac:dyDescent="0.3">
      <c r="A151" s="2">
        <v>45068</v>
      </c>
      <c r="B151" s="1">
        <v>30000</v>
      </c>
      <c r="C151" s="1" t="s">
        <v>7</v>
      </c>
      <c r="D151" s="1">
        <v>1370.82</v>
      </c>
      <c r="E151" s="1" t="s">
        <v>8</v>
      </c>
      <c r="F151" s="1" t="s">
        <v>22</v>
      </c>
      <c r="G151" s="1" t="s">
        <v>17</v>
      </c>
    </row>
    <row r="152" spans="1:7" x14ac:dyDescent="0.3">
      <c r="A152" s="2">
        <v>44944</v>
      </c>
      <c r="B152" s="1">
        <v>60000</v>
      </c>
      <c r="C152" s="1" t="s">
        <v>14</v>
      </c>
      <c r="D152" s="1">
        <v>3042.71</v>
      </c>
      <c r="E152" s="1" t="s">
        <v>8</v>
      </c>
      <c r="F152" s="1" t="s">
        <v>9</v>
      </c>
      <c r="G152" s="1" t="s">
        <v>19</v>
      </c>
    </row>
    <row r="153" spans="1:7" x14ac:dyDescent="0.3">
      <c r="A153" s="2">
        <v>45155</v>
      </c>
      <c r="B153" s="1">
        <v>100000</v>
      </c>
      <c r="C153" s="1" t="s">
        <v>14</v>
      </c>
      <c r="D153" s="1">
        <v>5144.3100000000004</v>
      </c>
      <c r="E153" s="1" t="s">
        <v>8</v>
      </c>
      <c r="F153" s="1" t="s">
        <v>11</v>
      </c>
      <c r="G153" s="1" t="s">
        <v>21</v>
      </c>
    </row>
    <row r="154" spans="1:7" x14ac:dyDescent="0.3">
      <c r="A154" s="2">
        <v>45073</v>
      </c>
      <c r="B154" s="1">
        <v>20000</v>
      </c>
      <c r="C154" s="1" t="s">
        <v>7</v>
      </c>
      <c r="D154" s="1">
        <v>8565.85</v>
      </c>
      <c r="E154" s="1" t="s">
        <v>15</v>
      </c>
      <c r="F154" s="1" t="s">
        <v>20</v>
      </c>
      <c r="G154" s="1" t="s">
        <v>17</v>
      </c>
    </row>
    <row r="155" spans="1:7" x14ac:dyDescent="0.3">
      <c r="A155" s="2">
        <v>45216</v>
      </c>
      <c r="B155" s="1">
        <v>100000</v>
      </c>
      <c r="C155" s="1" t="s">
        <v>14</v>
      </c>
      <c r="D155" s="1">
        <v>5014.04</v>
      </c>
      <c r="E155" s="1" t="s">
        <v>15</v>
      </c>
      <c r="F155" s="1" t="s">
        <v>32</v>
      </c>
      <c r="G155" s="1" t="s">
        <v>28</v>
      </c>
    </row>
    <row r="156" spans="1:7" x14ac:dyDescent="0.3">
      <c r="A156" s="2">
        <v>45028</v>
      </c>
      <c r="B156" s="1">
        <v>80000</v>
      </c>
      <c r="C156" s="1" t="s">
        <v>14</v>
      </c>
      <c r="D156" s="1">
        <v>8777.17</v>
      </c>
      <c r="E156" s="1" t="s">
        <v>8</v>
      </c>
      <c r="F156" s="1" t="s">
        <v>11</v>
      </c>
      <c r="G156" s="1" t="s">
        <v>30</v>
      </c>
    </row>
    <row r="157" spans="1:7" x14ac:dyDescent="0.3">
      <c r="A157" s="2">
        <v>44933</v>
      </c>
      <c r="B157" s="1">
        <v>10000</v>
      </c>
      <c r="C157" s="1" t="s">
        <v>7</v>
      </c>
      <c r="D157" s="1">
        <v>144.30000000000001</v>
      </c>
      <c r="E157" s="1" t="s">
        <v>15</v>
      </c>
      <c r="F157" s="1" t="s">
        <v>25</v>
      </c>
      <c r="G157" s="1" t="s">
        <v>19</v>
      </c>
    </row>
    <row r="158" spans="1:7" x14ac:dyDescent="0.3">
      <c r="A158" s="2">
        <v>44984</v>
      </c>
      <c r="B158" s="1">
        <v>130000</v>
      </c>
      <c r="C158" s="1" t="s">
        <v>7</v>
      </c>
      <c r="D158" s="1">
        <v>8891.9699999999993</v>
      </c>
      <c r="E158" s="1" t="s">
        <v>8</v>
      </c>
      <c r="F158" s="1" t="s">
        <v>22</v>
      </c>
      <c r="G158" s="1" t="s">
        <v>24</v>
      </c>
    </row>
    <row r="159" spans="1:7" x14ac:dyDescent="0.3">
      <c r="A159" s="2">
        <v>45149</v>
      </c>
      <c r="B159" s="1">
        <v>10000</v>
      </c>
      <c r="C159" s="1" t="s">
        <v>7</v>
      </c>
      <c r="D159" s="1">
        <v>3584.86</v>
      </c>
      <c r="E159" s="1" t="s">
        <v>8</v>
      </c>
      <c r="F159" s="1" t="s">
        <v>26</v>
      </c>
      <c r="G159" s="1" t="s">
        <v>21</v>
      </c>
    </row>
    <row r="160" spans="1:7" x14ac:dyDescent="0.3">
      <c r="A160" s="2">
        <v>44979</v>
      </c>
      <c r="B160" s="1">
        <v>20000</v>
      </c>
      <c r="C160" s="1" t="s">
        <v>7</v>
      </c>
      <c r="D160" s="1">
        <v>6044.73</v>
      </c>
      <c r="E160" s="1" t="s">
        <v>8</v>
      </c>
      <c r="F160" s="1" t="s">
        <v>13</v>
      </c>
      <c r="G160" s="1" t="s">
        <v>24</v>
      </c>
    </row>
    <row r="161" spans="1:7" x14ac:dyDescent="0.3">
      <c r="A161" s="2">
        <v>45096</v>
      </c>
      <c r="B161" s="1">
        <v>10000</v>
      </c>
      <c r="C161" s="1" t="s">
        <v>7</v>
      </c>
      <c r="D161" s="1">
        <v>4065.45</v>
      </c>
      <c r="E161" s="1" t="s">
        <v>8</v>
      </c>
      <c r="F161" s="1" t="s">
        <v>22</v>
      </c>
      <c r="G161" s="1" t="s">
        <v>23</v>
      </c>
    </row>
    <row r="162" spans="1:7" x14ac:dyDescent="0.3">
      <c r="A162" s="2">
        <v>45041</v>
      </c>
      <c r="B162" s="1">
        <v>60000</v>
      </c>
      <c r="C162" s="1" t="s">
        <v>14</v>
      </c>
      <c r="D162" s="1">
        <v>3556.91</v>
      </c>
      <c r="E162" s="1" t="s">
        <v>15</v>
      </c>
      <c r="F162" s="1" t="s">
        <v>32</v>
      </c>
      <c r="G162" s="1" t="s">
        <v>30</v>
      </c>
    </row>
    <row r="163" spans="1:7" x14ac:dyDescent="0.3">
      <c r="A163" s="2">
        <v>45250</v>
      </c>
      <c r="B163" s="1">
        <v>20000</v>
      </c>
      <c r="C163" s="1" t="s">
        <v>7</v>
      </c>
      <c r="D163" s="1">
        <v>4201.87</v>
      </c>
      <c r="E163" s="1" t="s">
        <v>8</v>
      </c>
      <c r="F163" s="1" t="s">
        <v>11</v>
      </c>
      <c r="G163" s="1" t="s">
        <v>31</v>
      </c>
    </row>
    <row r="164" spans="1:7" x14ac:dyDescent="0.3">
      <c r="A164" s="2">
        <v>45061</v>
      </c>
      <c r="B164" s="1">
        <v>60000</v>
      </c>
      <c r="C164" s="1" t="s">
        <v>14</v>
      </c>
      <c r="D164" s="1">
        <v>5272.25</v>
      </c>
      <c r="E164" s="1" t="s">
        <v>15</v>
      </c>
      <c r="F164" s="1" t="s">
        <v>25</v>
      </c>
      <c r="G164" s="1" t="s">
        <v>17</v>
      </c>
    </row>
    <row r="165" spans="1:7" x14ac:dyDescent="0.3">
      <c r="A165" s="2">
        <v>45067</v>
      </c>
      <c r="B165" s="1">
        <v>40000</v>
      </c>
      <c r="C165" s="1" t="s">
        <v>14</v>
      </c>
      <c r="D165" s="1">
        <v>864.85</v>
      </c>
      <c r="E165" s="1" t="s">
        <v>8</v>
      </c>
      <c r="F165" s="1" t="s">
        <v>11</v>
      </c>
      <c r="G165" s="1" t="s">
        <v>17</v>
      </c>
    </row>
    <row r="166" spans="1:7" x14ac:dyDescent="0.3">
      <c r="A166" s="2">
        <v>45066</v>
      </c>
      <c r="B166" s="1">
        <v>10000</v>
      </c>
      <c r="C166" s="1" t="s">
        <v>14</v>
      </c>
      <c r="D166" s="1">
        <v>9636.9500000000007</v>
      </c>
      <c r="E166" s="1" t="s">
        <v>8</v>
      </c>
      <c r="F166" s="1" t="s">
        <v>9</v>
      </c>
      <c r="G166" s="1" t="s">
        <v>17</v>
      </c>
    </row>
    <row r="167" spans="1:7" x14ac:dyDescent="0.3">
      <c r="A167" s="2">
        <v>44993</v>
      </c>
      <c r="B167" s="1">
        <v>10000</v>
      </c>
      <c r="C167" s="1" t="s">
        <v>14</v>
      </c>
      <c r="D167" s="1">
        <v>1837.87</v>
      </c>
      <c r="E167" s="1" t="s">
        <v>8</v>
      </c>
      <c r="F167" s="1" t="s">
        <v>9</v>
      </c>
      <c r="G167" s="1" t="s">
        <v>12</v>
      </c>
    </row>
    <row r="168" spans="1:7" x14ac:dyDescent="0.3">
      <c r="A168" s="2">
        <v>44960</v>
      </c>
      <c r="B168" s="1">
        <v>90000</v>
      </c>
      <c r="C168" s="1" t="s">
        <v>14</v>
      </c>
      <c r="D168" s="1">
        <v>296.81</v>
      </c>
      <c r="E168" s="1" t="s">
        <v>8</v>
      </c>
      <c r="F168" s="1" t="s">
        <v>11</v>
      </c>
      <c r="G168" s="1" t="s">
        <v>24</v>
      </c>
    </row>
    <row r="169" spans="1:7" x14ac:dyDescent="0.3">
      <c r="A169" s="2">
        <v>45243</v>
      </c>
      <c r="B169" s="1">
        <v>100000</v>
      </c>
      <c r="C169" s="1" t="s">
        <v>14</v>
      </c>
      <c r="D169" s="1">
        <v>7168.17</v>
      </c>
      <c r="E169" s="1" t="s">
        <v>15</v>
      </c>
      <c r="F169" s="1" t="s">
        <v>16</v>
      </c>
      <c r="G169" s="1" t="s">
        <v>31</v>
      </c>
    </row>
    <row r="170" spans="1:7" x14ac:dyDescent="0.3">
      <c r="A170" s="2">
        <v>45235</v>
      </c>
      <c r="B170" s="1">
        <v>70000</v>
      </c>
      <c r="C170" s="1" t="s">
        <v>14</v>
      </c>
      <c r="D170" s="1">
        <v>7502.84</v>
      </c>
      <c r="E170" s="1" t="s">
        <v>15</v>
      </c>
      <c r="F170" s="1" t="s">
        <v>18</v>
      </c>
      <c r="G170" s="1" t="s">
        <v>31</v>
      </c>
    </row>
    <row r="171" spans="1:7" x14ac:dyDescent="0.3">
      <c r="A171" s="2">
        <v>45015</v>
      </c>
      <c r="B171" s="1">
        <v>30000</v>
      </c>
      <c r="C171" s="1" t="s">
        <v>7</v>
      </c>
      <c r="D171" s="1">
        <v>3007.6</v>
      </c>
      <c r="E171" s="1" t="s">
        <v>15</v>
      </c>
      <c r="F171" s="1" t="s">
        <v>32</v>
      </c>
      <c r="G171" s="1" t="s">
        <v>12</v>
      </c>
    </row>
    <row r="172" spans="1:7" x14ac:dyDescent="0.3">
      <c r="A172" s="2">
        <v>45252</v>
      </c>
      <c r="B172" s="1">
        <v>130000</v>
      </c>
      <c r="C172" s="1" t="s">
        <v>7</v>
      </c>
      <c r="D172" s="1">
        <v>1022.8</v>
      </c>
      <c r="E172" s="1" t="s">
        <v>15</v>
      </c>
      <c r="F172" s="1" t="s">
        <v>16</v>
      </c>
      <c r="G172" s="1" t="s">
        <v>31</v>
      </c>
    </row>
    <row r="173" spans="1:7" x14ac:dyDescent="0.3">
      <c r="A173" s="2">
        <v>45281</v>
      </c>
      <c r="B173" s="1">
        <v>80000</v>
      </c>
      <c r="C173" s="1" t="s">
        <v>7</v>
      </c>
      <c r="D173" s="1">
        <v>6902.73</v>
      </c>
      <c r="E173" s="1" t="s">
        <v>8</v>
      </c>
      <c r="F173" s="1" t="s">
        <v>13</v>
      </c>
      <c r="G173" s="1" t="s">
        <v>10</v>
      </c>
    </row>
    <row r="174" spans="1:7" x14ac:dyDescent="0.3">
      <c r="A174" s="2">
        <v>45031</v>
      </c>
      <c r="B174" s="1">
        <v>10000</v>
      </c>
      <c r="C174" s="1" t="s">
        <v>7</v>
      </c>
      <c r="D174" s="1">
        <v>8063.63</v>
      </c>
      <c r="E174" s="1" t="s">
        <v>15</v>
      </c>
      <c r="F174" s="1" t="s">
        <v>16</v>
      </c>
      <c r="G174" s="1" t="s">
        <v>30</v>
      </c>
    </row>
    <row r="175" spans="1:7" x14ac:dyDescent="0.3">
      <c r="A175" s="2">
        <v>45049</v>
      </c>
      <c r="B175" s="1">
        <v>10000</v>
      </c>
      <c r="C175" s="1" t="s">
        <v>14</v>
      </c>
      <c r="D175" s="1">
        <v>7527.09</v>
      </c>
      <c r="E175" s="1" t="s">
        <v>15</v>
      </c>
      <c r="F175" s="1" t="s">
        <v>25</v>
      </c>
      <c r="G175" s="1" t="s">
        <v>17</v>
      </c>
    </row>
    <row r="176" spans="1:7" x14ac:dyDescent="0.3">
      <c r="A176" s="2">
        <v>45220</v>
      </c>
      <c r="B176" s="1">
        <v>50000</v>
      </c>
      <c r="C176" s="1" t="s">
        <v>7</v>
      </c>
      <c r="D176" s="1">
        <v>8156.21</v>
      </c>
      <c r="E176" s="1" t="s">
        <v>8</v>
      </c>
      <c r="F176" s="1" t="s">
        <v>26</v>
      </c>
      <c r="G176" s="1" t="s">
        <v>28</v>
      </c>
    </row>
    <row r="177" spans="1:7" x14ac:dyDescent="0.3">
      <c r="A177" s="2">
        <v>44953</v>
      </c>
      <c r="B177" s="1">
        <v>80000</v>
      </c>
      <c r="C177" s="1" t="s">
        <v>14</v>
      </c>
      <c r="D177" s="1">
        <v>5283.79</v>
      </c>
      <c r="E177" s="1" t="s">
        <v>8</v>
      </c>
      <c r="F177" s="1" t="s">
        <v>26</v>
      </c>
      <c r="G177" s="1" t="s">
        <v>19</v>
      </c>
    </row>
    <row r="178" spans="1:7" x14ac:dyDescent="0.3">
      <c r="A178" s="2">
        <v>45059</v>
      </c>
      <c r="B178" s="1">
        <v>20000</v>
      </c>
      <c r="C178" s="1" t="s">
        <v>14</v>
      </c>
      <c r="D178" s="1">
        <v>7606.82</v>
      </c>
      <c r="E178" s="1" t="s">
        <v>15</v>
      </c>
      <c r="F178" s="1" t="s">
        <v>25</v>
      </c>
      <c r="G178" s="1" t="s">
        <v>17</v>
      </c>
    </row>
    <row r="179" spans="1:7" x14ac:dyDescent="0.3">
      <c r="A179" s="2">
        <v>44937</v>
      </c>
      <c r="B179" s="1">
        <v>110000</v>
      </c>
      <c r="C179" s="1" t="s">
        <v>7</v>
      </c>
      <c r="D179" s="1">
        <v>8573.59</v>
      </c>
      <c r="E179" s="1" t="s">
        <v>8</v>
      </c>
      <c r="F179" s="1" t="s">
        <v>13</v>
      </c>
      <c r="G179" s="1" t="s">
        <v>19</v>
      </c>
    </row>
    <row r="180" spans="1:7" x14ac:dyDescent="0.3">
      <c r="A180" s="2">
        <v>44943</v>
      </c>
      <c r="B180" s="1">
        <v>160000</v>
      </c>
      <c r="C180" s="1" t="s">
        <v>7</v>
      </c>
      <c r="D180" s="1">
        <v>7524.03</v>
      </c>
      <c r="E180" s="1" t="s">
        <v>15</v>
      </c>
      <c r="F180" s="1" t="s">
        <v>20</v>
      </c>
      <c r="G180" s="1" t="s">
        <v>19</v>
      </c>
    </row>
    <row r="181" spans="1:7" x14ac:dyDescent="0.3">
      <c r="A181" s="2">
        <v>45086</v>
      </c>
      <c r="B181" s="1">
        <v>10000</v>
      </c>
      <c r="C181" s="1" t="s">
        <v>7</v>
      </c>
      <c r="D181" s="1">
        <v>4642.7299999999996</v>
      </c>
      <c r="E181" s="1" t="s">
        <v>15</v>
      </c>
      <c r="F181" s="1" t="s">
        <v>16</v>
      </c>
      <c r="G181" s="1" t="s">
        <v>23</v>
      </c>
    </row>
    <row r="182" spans="1:7" x14ac:dyDescent="0.3">
      <c r="A182" s="2">
        <v>44974</v>
      </c>
      <c r="B182" s="1">
        <v>10000</v>
      </c>
      <c r="C182" s="1" t="s">
        <v>7</v>
      </c>
      <c r="D182" s="1">
        <v>3843.45</v>
      </c>
      <c r="E182" s="1" t="s">
        <v>15</v>
      </c>
      <c r="F182" s="1" t="s">
        <v>25</v>
      </c>
      <c r="G182" s="1" t="s">
        <v>24</v>
      </c>
    </row>
    <row r="183" spans="1:7" x14ac:dyDescent="0.3">
      <c r="A183" s="2">
        <v>44957</v>
      </c>
      <c r="B183" s="1">
        <v>30000</v>
      </c>
      <c r="C183" s="1" t="s">
        <v>14</v>
      </c>
      <c r="D183" s="1">
        <v>5860.74</v>
      </c>
      <c r="E183" s="1" t="s">
        <v>15</v>
      </c>
      <c r="F183" s="1" t="s">
        <v>18</v>
      </c>
      <c r="G183" s="1" t="s">
        <v>19</v>
      </c>
    </row>
    <row r="184" spans="1:7" x14ac:dyDescent="0.3">
      <c r="A184" s="2">
        <v>45096</v>
      </c>
      <c r="B184" s="1">
        <v>10000</v>
      </c>
      <c r="C184" s="1" t="s">
        <v>7</v>
      </c>
      <c r="D184" s="1">
        <v>4813.1400000000003</v>
      </c>
      <c r="E184" s="1" t="s">
        <v>8</v>
      </c>
      <c r="F184" s="1" t="s">
        <v>26</v>
      </c>
      <c r="G184" s="1" t="s">
        <v>23</v>
      </c>
    </row>
    <row r="185" spans="1:7" x14ac:dyDescent="0.3">
      <c r="A185" s="2">
        <v>45023</v>
      </c>
      <c r="B185" s="1">
        <v>40000</v>
      </c>
      <c r="C185" s="1" t="s">
        <v>14</v>
      </c>
      <c r="D185" s="1">
        <v>1813</v>
      </c>
      <c r="E185" s="1" t="s">
        <v>8</v>
      </c>
      <c r="F185" s="1" t="s">
        <v>9</v>
      </c>
      <c r="G185" s="1" t="s">
        <v>30</v>
      </c>
    </row>
    <row r="186" spans="1:7" x14ac:dyDescent="0.3">
      <c r="A186" s="2">
        <v>44936</v>
      </c>
      <c r="B186" s="1">
        <v>130000</v>
      </c>
      <c r="C186" s="1" t="s">
        <v>7</v>
      </c>
      <c r="D186" s="1">
        <v>558.92999999999995</v>
      </c>
      <c r="E186" s="1" t="s">
        <v>15</v>
      </c>
      <c r="F186" s="1" t="s">
        <v>18</v>
      </c>
      <c r="G186" s="1" t="s">
        <v>19</v>
      </c>
    </row>
    <row r="187" spans="1:7" x14ac:dyDescent="0.3">
      <c r="A187" s="2">
        <v>45054</v>
      </c>
      <c r="B187" s="1">
        <v>90000</v>
      </c>
      <c r="C187" s="1" t="s">
        <v>14</v>
      </c>
      <c r="D187" s="1">
        <v>2061.06</v>
      </c>
      <c r="E187" s="1" t="s">
        <v>15</v>
      </c>
      <c r="F187" s="1" t="s">
        <v>32</v>
      </c>
      <c r="G187" s="1" t="s">
        <v>17</v>
      </c>
    </row>
    <row r="188" spans="1:7" x14ac:dyDescent="0.3">
      <c r="A188" s="2">
        <v>45082</v>
      </c>
      <c r="B188" s="1">
        <v>30000</v>
      </c>
      <c r="C188" s="1" t="s">
        <v>14</v>
      </c>
      <c r="D188" s="1">
        <v>2278.5</v>
      </c>
      <c r="E188" s="1" t="s">
        <v>15</v>
      </c>
      <c r="F188" s="1" t="s">
        <v>32</v>
      </c>
      <c r="G188" s="1" t="s">
        <v>23</v>
      </c>
    </row>
    <row r="189" spans="1:7" x14ac:dyDescent="0.3">
      <c r="A189" s="2">
        <v>44998</v>
      </c>
      <c r="B189" s="1">
        <v>80000</v>
      </c>
      <c r="C189" s="1" t="s">
        <v>7</v>
      </c>
      <c r="D189" s="1">
        <v>3476.63</v>
      </c>
      <c r="E189" s="1" t="s">
        <v>15</v>
      </c>
      <c r="F189" s="1" t="s">
        <v>20</v>
      </c>
      <c r="G189" s="1" t="s">
        <v>12</v>
      </c>
    </row>
    <row r="190" spans="1:7" x14ac:dyDescent="0.3">
      <c r="A190" s="2">
        <v>45008</v>
      </c>
      <c r="B190" s="1">
        <v>70000</v>
      </c>
      <c r="C190" s="1" t="s">
        <v>14</v>
      </c>
      <c r="D190" s="1">
        <v>5183.46</v>
      </c>
      <c r="E190" s="1" t="s">
        <v>8</v>
      </c>
      <c r="F190" s="1" t="s">
        <v>11</v>
      </c>
      <c r="G190" s="1" t="s">
        <v>12</v>
      </c>
    </row>
    <row r="191" spans="1:7" x14ac:dyDescent="0.3">
      <c r="A191" s="2">
        <v>45000</v>
      </c>
      <c r="B191" s="1">
        <v>30000</v>
      </c>
      <c r="C191" s="1" t="s">
        <v>7</v>
      </c>
      <c r="D191" s="1">
        <v>6862.94</v>
      </c>
      <c r="E191" s="1" t="s">
        <v>8</v>
      </c>
      <c r="F191" s="1" t="s">
        <v>9</v>
      </c>
      <c r="G191" s="1" t="s">
        <v>12</v>
      </c>
    </row>
    <row r="192" spans="1:7" x14ac:dyDescent="0.3">
      <c r="A192" s="2">
        <v>45138</v>
      </c>
      <c r="B192" s="1">
        <v>30000</v>
      </c>
      <c r="C192" s="1" t="s">
        <v>14</v>
      </c>
      <c r="D192" s="1">
        <v>8871.61</v>
      </c>
      <c r="E192" s="1" t="s">
        <v>15</v>
      </c>
      <c r="F192" s="1" t="s">
        <v>16</v>
      </c>
      <c r="G192" s="1" t="s">
        <v>29</v>
      </c>
    </row>
    <row r="193" spans="1:7" x14ac:dyDescent="0.3">
      <c r="A193" s="2">
        <v>45153</v>
      </c>
      <c r="B193" s="1">
        <v>90000</v>
      </c>
      <c r="C193" s="1" t="s">
        <v>7</v>
      </c>
      <c r="D193" s="1">
        <v>7433.75</v>
      </c>
      <c r="E193" s="1" t="s">
        <v>15</v>
      </c>
      <c r="F193" s="1" t="s">
        <v>32</v>
      </c>
      <c r="G193" s="1" t="s">
        <v>21</v>
      </c>
    </row>
    <row r="194" spans="1:7" x14ac:dyDescent="0.3">
      <c r="A194" s="2">
        <v>45048</v>
      </c>
      <c r="B194" s="1">
        <v>80000</v>
      </c>
      <c r="C194" s="1" t="s">
        <v>7</v>
      </c>
      <c r="D194" s="1">
        <v>508.19</v>
      </c>
      <c r="E194" s="1" t="s">
        <v>15</v>
      </c>
      <c r="F194" s="1" t="s">
        <v>25</v>
      </c>
      <c r="G194" s="1" t="s">
        <v>17</v>
      </c>
    </row>
    <row r="195" spans="1:7" x14ac:dyDescent="0.3">
      <c r="A195" s="2">
        <v>45004</v>
      </c>
      <c r="B195" s="1">
        <v>70000</v>
      </c>
      <c r="C195" s="1" t="s">
        <v>14</v>
      </c>
      <c r="D195" s="1">
        <v>9486.6</v>
      </c>
      <c r="E195" s="1" t="s">
        <v>8</v>
      </c>
      <c r="F195" s="1" t="s">
        <v>22</v>
      </c>
      <c r="G195" s="1" t="s">
        <v>12</v>
      </c>
    </row>
    <row r="196" spans="1:7" x14ac:dyDescent="0.3">
      <c r="A196" s="2">
        <v>45132</v>
      </c>
      <c r="B196" s="1">
        <v>10000</v>
      </c>
      <c r="C196" s="1" t="s">
        <v>7</v>
      </c>
      <c r="D196" s="1">
        <v>7661.16</v>
      </c>
      <c r="E196" s="1" t="s">
        <v>15</v>
      </c>
      <c r="F196" s="1" t="s">
        <v>20</v>
      </c>
      <c r="G196" s="1" t="s">
        <v>29</v>
      </c>
    </row>
    <row r="197" spans="1:7" x14ac:dyDescent="0.3">
      <c r="A197" s="2">
        <v>45002</v>
      </c>
      <c r="B197" s="1">
        <v>20000</v>
      </c>
      <c r="C197" s="1" t="s">
        <v>14</v>
      </c>
      <c r="D197" s="1">
        <v>2681.77</v>
      </c>
      <c r="E197" s="1" t="s">
        <v>15</v>
      </c>
      <c r="F197" s="1" t="s">
        <v>20</v>
      </c>
      <c r="G197" s="1" t="s">
        <v>12</v>
      </c>
    </row>
    <row r="198" spans="1:7" x14ac:dyDescent="0.3">
      <c r="A198" s="2">
        <v>45149</v>
      </c>
      <c r="B198" s="1">
        <v>50000</v>
      </c>
      <c r="C198" s="1" t="s">
        <v>7</v>
      </c>
      <c r="D198" s="1">
        <v>384.08</v>
      </c>
      <c r="E198" s="1" t="s">
        <v>8</v>
      </c>
      <c r="F198" s="1" t="s">
        <v>13</v>
      </c>
      <c r="G198" s="1" t="s">
        <v>21</v>
      </c>
    </row>
    <row r="199" spans="1:7" x14ac:dyDescent="0.3">
      <c r="A199" s="2">
        <v>45119</v>
      </c>
      <c r="B199" s="1">
        <v>60000</v>
      </c>
      <c r="C199" s="1" t="s">
        <v>14</v>
      </c>
      <c r="D199" s="1">
        <v>1950.94</v>
      </c>
      <c r="E199" s="1" t="s">
        <v>15</v>
      </c>
      <c r="F199" s="1" t="s">
        <v>18</v>
      </c>
      <c r="G199" s="1" t="s">
        <v>29</v>
      </c>
    </row>
    <row r="200" spans="1:7" x14ac:dyDescent="0.3">
      <c r="A200" s="2">
        <v>45101</v>
      </c>
      <c r="B200" s="1">
        <v>100000</v>
      </c>
      <c r="C200" s="1" t="s">
        <v>14</v>
      </c>
      <c r="D200" s="1">
        <v>3072.11</v>
      </c>
      <c r="E200" s="1" t="s">
        <v>8</v>
      </c>
      <c r="F200" s="1" t="s">
        <v>11</v>
      </c>
      <c r="G200" s="1" t="s">
        <v>23</v>
      </c>
    </row>
    <row r="201" spans="1:7" x14ac:dyDescent="0.3">
      <c r="A201" s="2">
        <v>45185</v>
      </c>
      <c r="B201" s="1">
        <v>80000</v>
      </c>
      <c r="C201" s="1" t="s">
        <v>14</v>
      </c>
      <c r="D201" s="1">
        <v>9344.11</v>
      </c>
      <c r="E201" s="1" t="s">
        <v>15</v>
      </c>
      <c r="F201" s="1" t="s">
        <v>32</v>
      </c>
      <c r="G201" s="1" t="s">
        <v>27</v>
      </c>
    </row>
    <row r="202" spans="1:7" x14ac:dyDescent="0.3">
      <c r="A202" s="2">
        <v>45287</v>
      </c>
      <c r="B202" s="1">
        <v>60000</v>
      </c>
      <c r="C202" s="1" t="s">
        <v>14</v>
      </c>
      <c r="D202" s="1">
        <v>3940.23</v>
      </c>
      <c r="E202" s="1" t="s">
        <v>8</v>
      </c>
      <c r="F202" s="1" t="s">
        <v>26</v>
      </c>
      <c r="G202" s="1" t="s">
        <v>10</v>
      </c>
    </row>
    <row r="203" spans="1:7" x14ac:dyDescent="0.3">
      <c r="A203" s="2">
        <v>45092</v>
      </c>
      <c r="B203" s="1">
        <v>10000</v>
      </c>
      <c r="C203" s="1" t="s">
        <v>14</v>
      </c>
      <c r="D203" s="1">
        <v>9688.0300000000007</v>
      </c>
      <c r="E203" s="1" t="s">
        <v>15</v>
      </c>
      <c r="F203" s="1" t="s">
        <v>16</v>
      </c>
      <c r="G203" s="1" t="s">
        <v>23</v>
      </c>
    </row>
    <row r="204" spans="1:7" x14ac:dyDescent="0.3">
      <c r="A204" s="2">
        <v>45127</v>
      </c>
      <c r="B204" s="1">
        <v>40000</v>
      </c>
      <c r="C204" s="1" t="s">
        <v>7</v>
      </c>
      <c r="D204" s="1">
        <v>8491.9599999999991</v>
      </c>
      <c r="E204" s="1" t="s">
        <v>8</v>
      </c>
      <c r="F204" s="1" t="s">
        <v>11</v>
      </c>
      <c r="G204" s="1" t="s">
        <v>29</v>
      </c>
    </row>
    <row r="205" spans="1:7" x14ac:dyDescent="0.3">
      <c r="A205" s="2">
        <v>45095</v>
      </c>
      <c r="B205" s="1">
        <v>60000</v>
      </c>
      <c r="C205" s="1" t="s">
        <v>14</v>
      </c>
      <c r="D205" s="1">
        <v>8718.74</v>
      </c>
      <c r="E205" s="1" t="s">
        <v>15</v>
      </c>
      <c r="F205" s="1" t="s">
        <v>16</v>
      </c>
      <c r="G205" s="1" t="s">
        <v>23</v>
      </c>
    </row>
    <row r="206" spans="1:7" x14ac:dyDescent="0.3">
      <c r="A206" s="2">
        <v>45103</v>
      </c>
      <c r="B206" s="1">
        <v>90000</v>
      </c>
      <c r="C206" s="1" t="s">
        <v>7</v>
      </c>
      <c r="D206" s="1">
        <v>1942.82</v>
      </c>
      <c r="E206" s="1" t="s">
        <v>8</v>
      </c>
      <c r="F206" s="1" t="s">
        <v>11</v>
      </c>
      <c r="G206" s="1" t="s">
        <v>23</v>
      </c>
    </row>
    <row r="207" spans="1:7" x14ac:dyDescent="0.3">
      <c r="A207" s="2">
        <v>44943</v>
      </c>
      <c r="B207" s="1">
        <v>30000</v>
      </c>
      <c r="C207" s="1" t="s">
        <v>7</v>
      </c>
      <c r="D207" s="1">
        <v>2075.0300000000002</v>
      </c>
      <c r="E207" s="1" t="s">
        <v>8</v>
      </c>
      <c r="F207" s="1" t="s">
        <v>22</v>
      </c>
      <c r="G207" s="1" t="s">
        <v>19</v>
      </c>
    </row>
    <row r="208" spans="1:7" x14ac:dyDescent="0.3">
      <c r="A208" s="2">
        <v>45025</v>
      </c>
      <c r="B208" s="1">
        <v>90000</v>
      </c>
      <c r="C208" s="1" t="s">
        <v>7</v>
      </c>
      <c r="D208" s="1">
        <v>2693.99</v>
      </c>
      <c r="E208" s="1" t="s">
        <v>15</v>
      </c>
      <c r="F208" s="1" t="s">
        <v>18</v>
      </c>
      <c r="G208" s="1" t="s">
        <v>30</v>
      </c>
    </row>
    <row r="209" spans="1:7" x14ac:dyDescent="0.3">
      <c r="A209" s="2">
        <v>45168</v>
      </c>
      <c r="B209" s="1">
        <v>20000</v>
      </c>
      <c r="C209" s="1" t="s">
        <v>7</v>
      </c>
      <c r="D209" s="1">
        <v>8554.23</v>
      </c>
      <c r="E209" s="1" t="s">
        <v>15</v>
      </c>
      <c r="F209" s="1" t="s">
        <v>32</v>
      </c>
      <c r="G209" s="1" t="s">
        <v>21</v>
      </c>
    </row>
    <row r="210" spans="1:7" x14ac:dyDescent="0.3">
      <c r="A210" s="2">
        <v>45061</v>
      </c>
      <c r="B210" s="1">
        <v>40000</v>
      </c>
      <c r="C210" s="1" t="s">
        <v>7</v>
      </c>
      <c r="D210" s="1">
        <v>1242.76</v>
      </c>
      <c r="E210" s="1" t="s">
        <v>15</v>
      </c>
      <c r="F210" s="1" t="s">
        <v>18</v>
      </c>
      <c r="G210" s="1" t="s">
        <v>17</v>
      </c>
    </row>
    <row r="211" spans="1:7" x14ac:dyDescent="0.3">
      <c r="A211" s="2">
        <v>44981</v>
      </c>
      <c r="B211" s="1">
        <v>30000</v>
      </c>
      <c r="C211" s="1" t="s">
        <v>7</v>
      </c>
      <c r="D211" s="1">
        <v>7682.67</v>
      </c>
      <c r="E211" s="1" t="s">
        <v>15</v>
      </c>
      <c r="F211" s="1" t="s">
        <v>32</v>
      </c>
      <c r="G211" s="1" t="s">
        <v>24</v>
      </c>
    </row>
    <row r="212" spans="1:7" x14ac:dyDescent="0.3">
      <c r="A212" s="2">
        <v>45218</v>
      </c>
      <c r="B212" s="1">
        <v>80000</v>
      </c>
      <c r="C212" s="1" t="s">
        <v>14</v>
      </c>
      <c r="D212" s="1">
        <v>5043.91</v>
      </c>
      <c r="E212" s="1" t="s">
        <v>8</v>
      </c>
      <c r="F212" s="1" t="s">
        <v>26</v>
      </c>
      <c r="G212" s="1" t="s">
        <v>28</v>
      </c>
    </row>
    <row r="213" spans="1:7" x14ac:dyDescent="0.3">
      <c r="A213" s="2">
        <v>45291</v>
      </c>
      <c r="B213" s="1">
        <v>50000</v>
      </c>
      <c r="C213" s="1" t="s">
        <v>7</v>
      </c>
      <c r="D213" s="1">
        <v>7534.46</v>
      </c>
      <c r="E213" s="1" t="s">
        <v>15</v>
      </c>
      <c r="F213" s="1" t="s">
        <v>16</v>
      </c>
      <c r="G213" s="1" t="s">
        <v>10</v>
      </c>
    </row>
    <row r="214" spans="1:7" x14ac:dyDescent="0.3">
      <c r="A214" s="2">
        <v>45286</v>
      </c>
      <c r="B214" s="1">
        <v>30000</v>
      </c>
      <c r="C214" s="1" t="s">
        <v>7</v>
      </c>
      <c r="D214" s="1">
        <v>978.49</v>
      </c>
      <c r="E214" s="1" t="s">
        <v>15</v>
      </c>
      <c r="F214" s="1" t="s">
        <v>32</v>
      </c>
      <c r="G214" s="1" t="s">
        <v>10</v>
      </c>
    </row>
    <row r="215" spans="1:7" x14ac:dyDescent="0.3">
      <c r="A215" s="2">
        <v>45110</v>
      </c>
      <c r="B215" s="1">
        <v>70000</v>
      </c>
      <c r="C215" s="1" t="s">
        <v>14</v>
      </c>
      <c r="D215" s="1">
        <v>8328.01</v>
      </c>
      <c r="E215" s="1" t="s">
        <v>15</v>
      </c>
      <c r="F215" s="1" t="s">
        <v>32</v>
      </c>
      <c r="G215" s="1" t="s">
        <v>29</v>
      </c>
    </row>
    <row r="216" spans="1:7" x14ac:dyDescent="0.3">
      <c r="A216" s="2">
        <v>45264</v>
      </c>
      <c r="B216" s="1">
        <v>30000</v>
      </c>
      <c r="C216" s="1" t="s">
        <v>7</v>
      </c>
      <c r="D216" s="1">
        <v>3679.47</v>
      </c>
      <c r="E216" s="1" t="s">
        <v>8</v>
      </c>
      <c r="F216" s="1" t="s">
        <v>9</v>
      </c>
      <c r="G216" s="1" t="s">
        <v>10</v>
      </c>
    </row>
    <row r="217" spans="1:7" x14ac:dyDescent="0.3">
      <c r="A217" s="2">
        <v>44979</v>
      </c>
      <c r="B217" s="1">
        <v>80000</v>
      </c>
      <c r="C217" s="1" t="s">
        <v>7</v>
      </c>
      <c r="D217" s="1">
        <v>8960.7099999999991</v>
      </c>
      <c r="E217" s="1" t="s">
        <v>15</v>
      </c>
      <c r="F217" s="1" t="s">
        <v>20</v>
      </c>
      <c r="G217" s="1" t="s">
        <v>24</v>
      </c>
    </row>
    <row r="218" spans="1:7" x14ac:dyDescent="0.3">
      <c r="A218" s="2">
        <v>45180</v>
      </c>
      <c r="B218" s="1">
        <v>20000</v>
      </c>
      <c r="C218" s="1" t="s">
        <v>14</v>
      </c>
      <c r="D218" s="1">
        <v>965.08</v>
      </c>
      <c r="E218" s="1" t="s">
        <v>8</v>
      </c>
      <c r="F218" s="1" t="s">
        <v>26</v>
      </c>
      <c r="G218" s="1" t="s">
        <v>27</v>
      </c>
    </row>
    <row r="219" spans="1:7" x14ac:dyDescent="0.3">
      <c r="A219" s="2">
        <v>44974</v>
      </c>
      <c r="B219" s="1">
        <v>20000</v>
      </c>
      <c r="C219" s="1" t="s">
        <v>7</v>
      </c>
      <c r="D219" s="1">
        <v>3014.84</v>
      </c>
      <c r="E219" s="1" t="s">
        <v>15</v>
      </c>
      <c r="F219" s="1" t="s">
        <v>18</v>
      </c>
      <c r="G219" s="1" t="s">
        <v>24</v>
      </c>
    </row>
    <row r="220" spans="1:7" x14ac:dyDescent="0.3">
      <c r="A220" s="2">
        <v>45012</v>
      </c>
      <c r="B220" s="1">
        <v>10000</v>
      </c>
      <c r="C220" s="1" t="s">
        <v>7</v>
      </c>
      <c r="D220" s="1">
        <v>8996.8700000000008</v>
      </c>
      <c r="E220" s="1" t="s">
        <v>15</v>
      </c>
      <c r="F220" s="1" t="s">
        <v>20</v>
      </c>
      <c r="G220" s="1" t="s">
        <v>12</v>
      </c>
    </row>
    <row r="221" spans="1:7" x14ac:dyDescent="0.3">
      <c r="A221" s="2">
        <v>45174</v>
      </c>
      <c r="B221" s="1">
        <v>10000</v>
      </c>
      <c r="C221" s="1" t="s">
        <v>14</v>
      </c>
      <c r="D221" s="1">
        <v>1080.8</v>
      </c>
      <c r="E221" s="1" t="s">
        <v>8</v>
      </c>
      <c r="F221" s="1" t="s">
        <v>9</v>
      </c>
      <c r="G221" s="1" t="s">
        <v>27</v>
      </c>
    </row>
    <row r="222" spans="1:7" x14ac:dyDescent="0.3">
      <c r="A222" s="2">
        <v>45131</v>
      </c>
      <c r="B222" s="1">
        <v>60000</v>
      </c>
      <c r="C222" s="1" t="s">
        <v>14</v>
      </c>
      <c r="D222" s="1">
        <v>2267.9299999999998</v>
      </c>
      <c r="E222" s="1" t="s">
        <v>15</v>
      </c>
      <c r="F222" s="1" t="s">
        <v>20</v>
      </c>
      <c r="G222" s="1" t="s">
        <v>29</v>
      </c>
    </row>
    <row r="223" spans="1:7" x14ac:dyDescent="0.3">
      <c r="A223" s="2">
        <v>45215</v>
      </c>
      <c r="B223" s="1">
        <v>10000</v>
      </c>
      <c r="C223" s="1" t="s">
        <v>7</v>
      </c>
      <c r="D223" s="1">
        <v>5122.49</v>
      </c>
      <c r="E223" s="1" t="s">
        <v>15</v>
      </c>
      <c r="F223" s="1" t="s">
        <v>32</v>
      </c>
      <c r="G223" s="1" t="s">
        <v>28</v>
      </c>
    </row>
    <row r="224" spans="1:7" x14ac:dyDescent="0.3">
      <c r="A224" s="2">
        <v>45117</v>
      </c>
      <c r="B224" s="1">
        <v>30000</v>
      </c>
      <c r="C224" s="1" t="s">
        <v>7</v>
      </c>
      <c r="D224" s="1">
        <v>6828.47</v>
      </c>
      <c r="E224" s="1" t="s">
        <v>8</v>
      </c>
      <c r="F224" s="1" t="s">
        <v>22</v>
      </c>
      <c r="G224" s="1" t="s">
        <v>29</v>
      </c>
    </row>
    <row r="225" spans="1:7" x14ac:dyDescent="0.3">
      <c r="A225" s="2">
        <v>45128</v>
      </c>
      <c r="B225" s="1">
        <v>70000</v>
      </c>
      <c r="C225" s="1" t="s">
        <v>14</v>
      </c>
      <c r="D225" s="1">
        <v>6636.26</v>
      </c>
      <c r="E225" s="1" t="s">
        <v>8</v>
      </c>
      <c r="F225" s="1" t="s">
        <v>26</v>
      </c>
      <c r="G225" s="1" t="s">
        <v>29</v>
      </c>
    </row>
    <row r="226" spans="1:7" x14ac:dyDescent="0.3">
      <c r="A226" s="2">
        <v>44952</v>
      </c>
      <c r="B226" s="1">
        <v>30000</v>
      </c>
      <c r="C226" s="1" t="s">
        <v>14</v>
      </c>
      <c r="D226" s="1">
        <v>1247.32</v>
      </c>
      <c r="E226" s="1" t="s">
        <v>15</v>
      </c>
      <c r="F226" s="1" t="s">
        <v>16</v>
      </c>
      <c r="G226" s="1" t="s">
        <v>19</v>
      </c>
    </row>
    <row r="227" spans="1:7" x14ac:dyDescent="0.3">
      <c r="A227" s="2">
        <v>44980</v>
      </c>
      <c r="B227" s="1">
        <v>20000</v>
      </c>
      <c r="C227" s="1" t="s">
        <v>7</v>
      </c>
      <c r="D227" s="1">
        <v>1933.43</v>
      </c>
      <c r="E227" s="1" t="s">
        <v>15</v>
      </c>
      <c r="F227" s="1" t="s">
        <v>16</v>
      </c>
      <c r="G227" s="1" t="s">
        <v>24</v>
      </c>
    </row>
    <row r="228" spans="1:7" x14ac:dyDescent="0.3">
      <c r="A228" s="2">
        <v>44995</v>
      </c>
      <c r="B228" s="1">
        <v>20000</v>
      </c>
      <c r="C228" s="1" t="s">
        <v>7</v>
      </c>
      <c r="D228" s="1">
        <v>8266.41</v>
      </c>
      <c r="E228" s="1" t="s">
        <v>8</v>
      </c>
      <c r="F228" s="1" t="s">
        <v>13</v>
      </c>
      <c r="G228" s="1" t="s">
        <v>12</v>
      </c>
    </row>
    <row r="229" spans="1:7" x14ac:dyDescent="0.3">
      <c r="A229" s="2">
        <v>45187</v>
      </c>
      <c r="B229" s="1">
        <v>10000</v>
      </c>
      <c r="C229" s="1" t="s">
        <v>7</v>
      </c>
      <c r="D229" s="1">
        <v>6773.86</v>
      </c>
      <c r="E229" s="1" t="s">
        <v>8</v>
      </c>
      <c r="F229" s="1" t="s">
        <v>26</v>
      </c>
      <c r="G229" s="1" t="s">
        <v>27</v>
      </c>
    </row>
    <row r="230" spans="1:7" x14ac:dyDescent="0.3">
      <c r="A230" s="2">
        <v>44969</v>
      </c>
      <c r="B230" s="1">
        <v>20000</v>
      </c>
      <c r="C230" s="1" t="s">
        <v>7</v>
      </c>
      <c r="D230" s="1">
        <v>5355.04</v>
      </c>
      <c r="E230" s="1" t="s">
        <v>15</v>
      </c>
      <c r="F230" s="1" t="s">
        <v>32</v>
      </c>
      <c r="G230" s="1" t="s">
        <v>24</v>
      </c>
    </row>
    <row r="231" spans="1:7" x14ac:dyDescent="0.3">
      <c r="A231" s="2">
        <v>45042</v>
      </c>
      <c r="B231" s="1">
        <v>80000</v>
      </c>
      <c r="C231" s="1" t="s">
        <v>7</v>
      </c>
      <c r="D231" s="1">
        <v>4037.03</v>
      </c>
      <c r="E231" s="1" t="s">
        <v>15</v>
      </c>
      <c r="F231" s="1" t="s">
        <v>16</v>
      </c>
      <c r="G231" s="1" t="s">
        <v>30</v>
      </c>
    </row>
    <row r="232" spans="1:7" x14ac:dyDescent="0.3">
      <c r="A232" s="2">
        <v>45173</v>
      </c>
      <c r="B232" s="1">
        <v>120000</v>
      </c>
      <c r="C232" s="1" t="s">
        <v>7</v>
      </c>
      <c r="D232" s="1">
        <v>8350.69</v>
      </c>
      <c r="E232" s="1" t="s">
        <v>8</v>
      </c>
      <c r="F232" s="1" t="s">
        <v>13</v>
      </c>
      <c r="G232" s="1" t="s">
        <v>27</v>
      </c>
    </row>
    <row r="233" spans="1:7" x14ac:dyDescent="0.3">
      <c r="A233" s="2">
        <v>45236</v>
      </c>
      <c r="B233" s="1">
        <v>40000</v>
      </c>
      <c r="C233" s="1" t="s">
        <v>7</v>
      </c>
      <c r="D233" s="1">
        <v>1441.72</v>
      </c>
      <c r="E233" s="1" t="s">
        <v>15</v>
      </c>
      <c r="F233" s="1" t="s">
        <v>16</v>
      </c>
      <c r="G233" s="1" t="s">
        <v>31</v>
      </c>
    </row>
    <row r="234" spans="1:7" x14ac:dyDescent="0.3">
      <c r="A234" s="2">
        <v>45075</v>
      </c>
      <c r="B234" s="1">
        <v>30000</v>
      </c>
      <c r="C234" s="1" t="s">
        <v>7</v>
      </c>
      <c r="D234" s="1">
        <v>3789.87</v>
      </c>
      <c r="E234" s="1" t="s">
        <v>8</v>
      </c>
      <c r="F234" s="1" t="s">
        <v>13</v>
      </c>
      <c r="G234" s="1" t="s">
        <v>17</v>
      </c>
    </row>
    <row r="235" spans="1:7" x14ac:dyDescent="0.3">
      <c r="A235" s="2">
        <v>45058</v>
      </c>
      <c r="B235" s="1">
        <v>20000</v>
      </c>
      <c r="C235" s="1" t="s">
        <v>14</v>
      </c>
      <c r="D235" s="1">
        <v>2039.6</v>
      </c>
      <c r="E235" s="1" t="s">
        <v>15</v>
      </c>
      <c r="F235" s="1" t="s">
        <v>18</v>
      </c>
      <c r="G235" s="1" t="s">
        <v>17</v>
      </c>
    </row>
    <row r="236" spans="1:7" x14ac:dyDescent="0.3">
      <c r="A236" s="2">
        <v>44984</v>
      </c>
      <c r="B236" s="1">
        <v>90000</v>
      </c>
      <c r="C236" s="1" t="s">
        <v>14</v>
      </c>
      <c r="D236" s="1">
        <v>4984.8900000000003</v>
      </c>
      <c r="E236" s="1" t="s">
        <v>8</v>
      </c>
      <c r="F236" s="1" t="s">
        <v>11</v>
      </c>
      <c r="G236" s="1" t="s">
        <v>24</v>
      </c>
    </row>
    <row r="237" spans="1:7" x14ac:dyDescent="0.3">
      <c r="A237" s="2">
        <v>44988</v>
      </c>
      <c r="B237" s="1">
        <v>10000</v>
      </c>
      <c r="C237" s="1" t="s">
        <v>7</v>
      </c>
      <c r="D237" s="1">
        <v>1196.6500000000001</v>
      </c>
      <c r="E237" s="1" t="s">
        <v>8</v>
      </c>
      <c r="F237" s="1" t="s">
        <v>11</v>
      </c>
      <c r="G237" s="1" t="s">
        <v>12</v>
      </c>
    </row>
    <row r="238" spans="1:7" x14ac:dyDescent="0.3">
      <c r="A238" s="2">
        <v>45068</v>
      </c>
      <c r="B238" s="1">
        <v>30000</v>
      </c>
      <c r="C238" s="1" t="s">
        <v>7</v>
      </c>
      <c r="D238" s="1">
        <v>7782.44</v>
      </c>
      <c r="E238" s="1" t="s">
        <v>15</v>
      </c>
      <c r="F238" s="1" t="s">
        <v>32</v>
      </c>
      <c r="G238" s="1" t="s">
        <v>17</v>
      </c>
    </row>
    <row r="239" spans="1:7" x14ac:dyDescent="0.3">
      <c r="A239" s="2">
        <v>44944</v>
      </c>
      <c r="B239" s="1">
        <v>10000</v>
      </c>
      <c r="C239" s="1" t="s">
        <v>14</v>
      </c>
      <c r="D239" s="1">
        <v>588.45000000000005</v>
      </c>
      <c r="E239" s="1" t="s">
        <v>15</v>
      </c>
      <c r="F239" s="1" t="s">
        <v>16</v>
      </c>
      <c r="G239" s="1" t="s">
        <v>19</v>
      </c>
    </row>
    <row r="240" spans="1:7" x14ac:dyDescent="0.3">
      <c r="A240" s="2">
        <v>45000</v>
      </c>
      <c r="B240" s="1">
        <v>70000</v>
      </c>
      <c r="C240" s="1" t="s">
        <v>14</v>
      </c>
      <c r="D240" s="1">
        <v>836.06</v>
      </c>
      <c r="E240" s="1" t="s">
        <v>15</v>
      </c>
      <c r="F240" s="1" t="s">
        <v>18</v>
      </c>
      <c r="G240" s="1" t="s">
        <v>12</v>
      </c>
    </row>
    <row r="241" spans="1:7" x14ac:dyDescent="0.3">
      <c r="A241" s="2">
        <v>45171</v>
      </c>
      <c r="B241" s="1">
        <v>30000</v>
      </c>
      <c r="C241" s="1" t="s">
        <v>7</v>
      </c>
      <c r="D241" s="1">
        <v>8071.41</v>
      </c>
      <c r="E241" s="1" t="s">
        <v>15</v>
      </c>
      <c r="F241" s="1" t="s">
        <v>20</v>
      </c>
      <c r="G241" s="1" t="s">
        <v>27</v>
      </c>
    </row>
    <row r="242" spans="1:7" x14ac:dyDescent="0.3">
      <c r="A242" s="2">
        <v>45001</v>
      </c>
      <c r="B242" s="1">
        <v>10000</v>
      </c>
      <c r="C242" s="1" t="s">
        <v>7</v>
      </c>
      <c r="D242" s="1">
        <v>5221.79</v>
      </c>
      <c r="E242" s="1" t="s">
        <v>15</v>
      </c>
      <c r="F242" s="1" t="s">
        <v>18</v>
      </c>
      <c r="G242" s="1" t="s">
        <v>12</v>
      </c>
    </row>
    <row r="243" spans="1:7" x14ac:dyDescent="0.3">
      <c r="A243" s="2">
        <v>45003</v>
      </c>
      <c r="B243" s="1">
        <v>30000</v>
      </c>
      <c r="C243" s="1" t="s">
        <v>7</v>
      </c>
      <c r="D243" s="1">
        <v>5938.13</v>
      </c>
      <c r="E243" s="1" t="s">
        <v>15</v>
      </c>
      <c r="F243" s="1" t="s">
        <v>16</v>
      </c>
      <c r="G243" s="1" t="s">
        <v>12</v>
      </c>
    </row>
    <row r="244" spans="1:7" x14ac:dyDescent="0.3">
      <c r="A244" s="2">
        <v>45175</v>
      </c>
      <c r="B244" s="1">
        <v>30000</v>
      </c>
      <c r="C244" s="1" t="s">
        <v>7</v>
      </c>
      <c r="D244" s="1">
        <v>2859.49</v>
      </c>
      <c r="E244" s="1" t="s">
        <v>15</v>
      </c>
      <c r="F244" s="1" t="s">
        <v>25</v>
      </c>
      <c r="G244" s="1" t="s">
        <v>27</v>
      </c>
    </row>
    <row r="245" spans="1:7" x14ac:dyDescent="0.3">
      <c r="A245" s="2">
        <v>45229</v>
      </c>
      <c r="B245" s="1">
        <v>20000</v>
      </c>
      <c r="C245" s="1" t="s">
        <v>7</v>
      </c>
      <c r="D245" s="1">
        <v>5936.52</v>
      </c>
      <c r="E245" s="1" t="s">
        <v>15</v>
      </c>
      <c r="F245" s="1" t="s">
        <v>20</v>
      </c>
      <c r="G245" s="1" t="s">
        <v>28</v>
      </c>
    </row>
    <row r="246" spans="1:7" x14ac:dyDescent="0.3">
      <c r="A246" s="2">
        <v>45135</v>
      </c>
      <c r="B246" s="1">
        <v>120000</v>
      </c>
      <c r="C246" s="1" t="s">
        <v>7</v>
      </c>
      <c r="D246" s="1">
        <v>852.21</v>
      </c>
      <c r="E246" s="1" t="s">
        <v>8</v>
      </c>
      <c r="F246" s="1" t="s">
        <v>11</v>
      </c>
      <c r="G246" s="1" t="s">
        <v>29</v>
      </c>
    </row>
    <row r="247" spans="1:7" x14ac:dyDescent="0.3">
      <c r="A247" s="2">
        <v>45277</v>
      </c>
      <c r="B247" s="1">
        <v>110000</v>
      </c>
      <c r="C247" s="1" t="s">
        <v>14</v>
      </c>
      <c r="D247" s="1">
        <v>417.54</v>
      </c>
      <c r="E247" s="1" t="s">
        <v>8</v>
      </c>
      <c r="F247" s="1" t="s">
        <v>11</v>
      </c>
      <c r="G247" s="1" t="s">
        <v>10</v>
      </c>
    </row>
    <row r="248" spans="1:7" x14ac:dyDescent="0.3">
      <c r="A248" s="2">
        <v>45227</v>
      </c>
      <c r="B248" s="1">
        <v>130000</v>
      </c>
      <c r="C248" s="1" t="s">
        <v>7</v>
      </c>
      <c r="D248" s="1">
        <v>3142.07</v>
      </c>
      <c r="E248" s="1" t="s">
        <v>8</v>
      </c>
      <c r="F248" s="1" t="s">
        <v>13</v>
      </c>
      <c r="G248" s="1" t="s">
        <v>28</v>
      </c>
    </row>
    <row r="249" spans="1:7" x14ac:dyDescent="0.3">
      <c r="A249" s="2">
        <v>45190</v>
      </c>
      <c r="B249" s="1">
        <v>100000</v>
      </c>
      <c r="C249" s="1" t="s">
        <v>14</v>
      </c>
      <c r="D249" s="1">
        <v>4288.5</v>
      </c>
      <c r="E249" s="1" t="s">
        <v>8</v>
      </c>
      <c r="F249" s="1" t="s">
        <v>9</v>
      </c>
      <c r="G249" s="1" t="s">
        <v>27</v>
      </c>
    </row>
    <row r="250" spans="1:7" x14ac:dyDescent="0.3">
      <c r="A250" s="2">
        <v>45055</v>
      </c>
      <c r="B250" s="1">
        <v>10000</v>
      </c>
      <c r="C250" s="1" t="s">
        <v>14</v>
      </c>
      <c r="D250" s="1">
        <v>2408.1799999999998</v>
      </c>
      <c r="E250" s="1" t="s">
        <v>15</v>
      </c>
      <c r="F250" s="1" t="s">
        <v>18</v>
      </c>
      <c r="G250" s="1" t="s">
        <v>17</v>
      </c>
    </row>
    <row r="251" spans="1:7" x14ac:dyDescent="0.3">
      <c r="A251" s="2">
        <v>45245</v>
      </c>
      <c r="B251" s="1">
        <v>70000</v>
      </c>
      <c r="C251" s="1" t="s">
        <v>14</v>
      </c>
      <c r="D251" s="1">
        <v>4787.6099999999997</v>
      </c>
      <c r="E251" s="1" t="s">
        <v>15</v>
      </c>
      <c r="F251" s="1" t="s">
        <v>16</v>
      </c>
      <c r="G251" s="1" t="s">
        <v>31</v>
      </c>
    </row>
    <row r="252" spans="1:7" x14ac:dyDescent="0.3">
      <c r="A252" s="2">
        <v>44971</v>
      </c>
      <c r="B252" s="1">
        <v>100000</v>
      </c>
      <c r="C252" s="1" t="s">
        <v>14</v>
      </c>
      <c r="D252" s="1">
        <v>4737.09</v>
      </c>
      <c r="E252" s="1" t="s">
        <v>15</v>
      </c>
      <c r="F252" s="1" t="s">
        <v>18</v>
      </c>
      <c r="G252" s="1" t="s">
        <v>24</v>
      </c>
    </row>
    <row r="253" spans="1:7" x14ac:dyDescent="0.3">
      <c r="A253" s="2">
        <v>45026</v>
      </c>
      <c r="B253" s="1">
        <v>130000</v>
      </c>
      <c r="C253" s="1" t="s">
        <v>7</v>
      </c>
      <c r="D253" s="1">
        <v>9525.34</v>
      </c>
      <c r="E253" s="1" t="s">
        <v>8</v>
      </c>
      <c r="F253" s="1" t="s">
        <v>11</v>
      </c>
      <c r="G253" s="1" t="s">
        <v>30</v>
      </c>
    </row>
    <row r="254" spans="1:7" x14ac:dyDescent="0.3">
      <c r="A254" s="2">
        <v>45001</v>
      </c>
      <c r="B254" s="1">
        <v>60000</v>
      </c>
      <c r="C254" s="1" t="s">
        <v>14</v>
      </c>
      <c r="D254" s="1">
        <v>5626.04</v>
      </c>
      <c r="E254" s="1" t="s">
        <v>8</v>
      </c>
      <c r="F254" s="1" t="s">
        <v>22</v>
      </c>
      <c r="G254" s="1" t="s">
        <v>12</v>
      </c>
    </row>
    <row r="255" spans="1:7" x14ac:dyDescent="0.3">
      <c r="A255" s="2">
        <v>45140</v>
      </c>
      <c r="B255" s="1">
        <v>100000</v>
      </c>
      <c r="C255" s="1" t="s">
        <v>7</v>
      </c>
      <c r="D255" s="1">
        <v>6158.6</v>
      </c>
      <c r="E255" s="1" t="s">
        <v>8</v>
      </c>
      <c r="F255" s="1" t="s">
        <v>26</v>
      </c>
      <c r="G255" s="1" t="s">
        <v>21</v>
      </c>
    </row>
    <row r="256" spans="1:7" x14ac:dyDescent="0.3">
      <c r="A256" s="2">
        <v>45200</v>
      </c>
      <c r="B256" s="1">
        <v>20000</v>
      </c>
      <c r="C256" s="1" t="s">
        <v>14</v>
      </c>
      <c r="D256" s="1">
        <v>6068.95</v>
      </c>
      <c r="E256" s="1" t="s">
        <v>8</v>
      </c>
      <c r="F256" s="1" t="s">
        <v>22</v>
      </c>
      <c r="G256" s="1" t="s">
        <v>28</v>
      </c>
    </row>
    <row r="257" spans="1:7" x14ac:dyDescent="0.3">
      <c r="A257" s="2">
        <v>45184</v>
      </c>
      <c r="B257" s="1">
        <v>30000</v>
      </c>
      <c r="C257" s="1" t="s">
        <v>7</v>
      </c>
      <c r="D257" s="1">
        <v>6982</v>
      </c>
      <c r="E257" s="1" t="s">
        <v>8</v>
      </c>
      <c r="F257" s="1" t="s">
        <v>26</v>
      </c>
      <c r="G257" s="1" t="s">
        <v>27</v>
      </c>
    </row>
    <row r="258" spans="1:7" x14ac:dyDescent="0.3">
      <c r="A258" s="2">
        <v>44947</v>
      </c>
      <c r="B258" s="1">
        <v>20000</v>
      </c>
      <c r="C258" s="1" t="s">
        <v>7</v>
      </c>
      <c r="D258" s="1">
        <v>8277.02</v>
      </c>
      <c r="E258" s="1" t="s">
        <v>8</v>
      </c>
      <c r="F258" s="1" t="s">
        <v>26</v>
      </c>
      <c r="G258" s="1" t="s">
        <v>19</v>
      </c>
    </row>
    <row r="259" spans="1:7" x14ac:dyDescent="0.3">
      <c r="A259" s="2">
        <v>45080</v>
      </c>
      <c r="B259" s="1">
        <v>50000</v>
      </c>
      <c r="C259" s="1" t="s">
        <v>7</v>
      </c>
      <c r="D259" s="1">
        <v>9832.58</v>
      </c>
      <c r="E259" s="1" t="s">
        <v>15</v>
      </c>
      <c r="F259" s="1" t="s">
        <v>25</v>
      </c>
      <c r="G259" s="1" t="s">
        <v>23</v>
      </c>
    </row>
    <row r="260" spans="1:7" x14ac:dyDescent="0.3">
      <c r="A260" s="2">
        <v>45102</v>
      </c>
      <c r="B260" s="1">
        <v>100000</v>
      </c>
      <c r="C260" s="1" t="s">
        <v>7</v>
      </c>
      <c r="D260" s="1">
        <v>9228.65</v>
      </c>
      <c r="E260" s="1" t="s">
        <v>8</v>
      </c>
      <c r="F260" s="1" t="s">
        <v>13</v>
      </c>
      <c r="G260" s="1" t="s">
        <v>23</v>
      </c>
    </row>
    <row r="261" spans="1:7" x14ac:dyDescent="0.3">
      <c r="A261" s="2">
        <v>45286</v>
      </c>
      <c r="B261" s="1">
        <v>150000</v>
      </c>
      <c r="C261" s="1" t="s">
        <v>14</v>
      </c>
      <c r="D261" s="1">
        <v>3034.03</v>
      </c>
      <c r="E261" s="1" t="s">
        <v>15</v>
      </c>
      <c r="F261" s="1" t="s">
        <v>18</v>
      </c>
      <c r="G261" s="1" t="s">
        <v>10</v>
      </c>
    </row>
    <row r="262" spans="1:7" x14ac:dyDescent="0.3">
      <c r="A262" s="2">
        <v>45069</v>
      </c>
      <c r="B262" s="1">
        <v>30000</v>
      </c>
      <c r="C262" s="1" t="s">
        <v>7</v>
      </c>
      <c r="D262" s="1">
        <v>133.54</v>
      </c>
      <c r="E262" s="1" t="s">
        <v>8</v>
      </c>
      <c r="F262" s="1" t="s">
        <v>11</v>
      </c>
      <c r="G262" s="1" t="s">
        <v>17</v>
      </c>
    </row>
    <row r="263" spans="1:7" x14ac:dyDescent="0.3">
      <c r="A263" s="2">
        <v>45210</v>
      </c>
      <c r="B263" s="1">
        <v>40000</v>
      </c>
      <c r="C263" s="1" t="s">
        <v>7</v>
      </c>
      <c r="D263" s="1">
        <v>8411.92</v>
      </c>
      <c r="E263" s="1" t="s">
        <v>15</v>
      </c>
      <c r="F263" s="1" t="s">
        <v>20</v>
      </c>
      <c r="G263" s="1" t="s">
        <v>28</v>
      </c>
    </row>
    <row r="264" spans="1:7" x14ac:dyDescent="0.3">
      <c r="A264" s="2">
        <v>44989</v>
      </c>
      <c r="B264" s="1">
        <v>10000</v>
      </c>
      <c r="C264" s="1" t="s">
        <v>7</v>
      </c>
      <c r="D264" s="1">
        <v>7166.55</v>
      </c>
      <c r="E264" s="1" t="s">
        <v>15</v>
      </c>
      <c r="F264" s="1" t="s">
        <v>32</v>
      </c>
      <c r="G264" s="1" t="s">
        <v>12</v>
      </c>
    </row>
    <row r="265" spans="1:7" x14ac:dyDescent="0.3">
      <c r="A265" s="2">
        <v>45137</v>
      </c>
      <c r="B265" s="1">
        <v>70000</v>
      </c>
      <c r="C265" s="1" t="s">
        <v>14</v>
      </c>
      <c r="D265" s="1">
        <v>993.6</v>
      </c>
      <c r="E265" s="1" t="s">
        <v>8</v>
      </c>
      <c r="F265" s="1" t="s">
        <v>26</v>
      </c>
      <c r="G265" s="1" t="s">
        <v>29</v>
      </c>
    </row>
    <row r="266" spans="1:7" x14ac:dyDescent="0.3">
      <c r="A266" s="2">
        <v>45039</v>
      </c>
      <c r="B266" s="1">
        <v>40000</v>
      </c>
      <c r="C266" s="1" t="s">
        <v>7</v>
      </c>
      <c r="D266" s="1">
        <v>1701.7</v>
      </c>
      <c r="E266" s="1" t="s">
        <v>15</v>
      </c>
      <c r="F266" s="1" t="s">
        <v>25</v>
      </c>
      <c r="G266" s="1" t="s">
        <v>30</v>
      </c>
    </row>
    <row r="267" spans="1:7" x14ac:dyDescent="0.3">
      <c r="A267" s="2">
        <v>45181</v>
      </c>
      <c r="B267" s="1">
        <v>30000</v>
      </c>
      <c r="C267" s="1" t="s">
        <v>7</v>
      </c>
      <c r="D267" s="1">
        <v>8428.84</v>
      </c>
      <c r="E267" s="1" t="s">
        <v>15</v>
      </c>
      <c r="F267" s="1" t="s">
        <v>20</v>
      </c>
      <c r="G267" s="1" t="s">
        <v>27</v>
      </c>
    </row>
    <row r="268" spans="1:7" x14ac:dyDescent="0.3">
      <c r="A268" s="2">
        <v>45194</v>
      </c>
      <c r="B268" s="1">
        <v>20000</v>
      </c>
      <c r="C268" s="1" t="s">
        <v>7</v>
      </c>
      <c r="D268" s="1">
        <v>8779.67</v>
      </c>
      <c r="E268" s="1" t="s">
        <v>8</v>
      </c>
      <c r="F268" s="1" t="s">
        <v>26</v>
      </c>
      <c r="G268" s="1" t="s">
        <v>27</v>
      </c>
    </row>
    <row r="269" spans="1:7" x14ac:dyDescent="0.3">
      <c r="A269" s="2">
        <v>45080</v>
      </c>
      <c r="B269" s="1">
        <v>100000</v>
      </c>
      <c r="C269" s="1" t="s">
        <v>14</v>
      </c>
      <c r="D269" s="1">
        <v>7839.43</v>
      </c>
      <c r="E269" s="1" t="s">
        <v>8</v>
      </c>
      <c r="F269" s="1" t="s">
        <v>22</v>
      </c>
      <c r="G269" s="1" t="s">
        <v>23</v>
      </c>
    </row>
    <row r="270" spans="1:7" x14ac:dyDescent="0.3">
      <c r="A270" s="2">
        <v>44948</v>
      </c>
      <c r="B270" s="1">
        <v>70000</v>
      </c>
      <c r="C270" s="1" t="s">
        <v>14</v>
      </c>
      <c r="D270" s="1">
        <v>5278.25</v>
      </c>
      <c r="E270" s="1" t="s">
        <v>8</v>
      </c>
      <c r="F270" s="1" t="s">
        <v>13</v>
      </c>
      <c r="G270" s="1" t="s">
        <v>19</v>
      </c>
    </row>
    <row r="271" spans="1:7" x14ac:dyDescent="0.3">
      <c r="A271" s="2">
        <v>45011</v>
      </c>
      <c r="B271" s="1">
        <v>50000</v>
      </c>
      <c r="C271" s="1" t="s">
        <v>7</v>
      </c>
      <c r="D271" s="1">
        <v>5187.74</v>
      </c>
      <c r="E271" s="1" t="s">
        <v>15</v>
      </c>
      <c r="F271" s="1" t="s">
        <v>18</v>
      </c>
      <c r="G271" s="1" t="s">
        <v>12</v>
      </c>
    </row>
    <row r="272" spans="1:7" x14ac:dyDescent="0.3">
      <c r="A272" s="2">
        <v>45246</v>
      </c>
      <c r="B272" s="1">
        <v>10000</v>
      </c>
      <c r="C272" s="1" t="s">
        <v>7</v>
      </c>
      <c r="D272" s="1">
        <v>6286.2</v>
      </c>
      <c r="E272" s="1" t="s">
        <v>15</v>
      </c>
      <c r="F272" s="1" t="s">
        <v>16</v>
      </c>
      <c r="G272" s="1" t="s">
        <v>31</v>
      </c>
    </row>
    <row r="273" spans="1:7" x14ac:dyDescent="0.3">
      <c r="A273" s="2">
        <v>45197</v>
      </c>
      <c r="B273" s="1">
        <v>20000</v>
      </c>
      <c r="C273" s="1" t="s">
        <v>7</v>
      </c>
      <c r="D273" s="1">
        <v>2801.53</v>
      </c>
      <c r="E273" s="1" t="s">
        <v>15</v>
      </c>
      <c r="F273" s="1" t="s">
        <v>20</v>
      </c>
      <c r="G273" s="1" t="s">
        <v>27</v>
      </c>
    </row>
    <row r="274" spans="1:7" x14ac:dyDescent="0.3">
      <c r="A274" s="2">
        <v>45095</v>
      </c>
      <c r="B274" s="1">
        <v>10000</v>
      </c>
      <c r="C274" s="1" t="s">
        <v>7</v>
      </c>
      <c r="D274" s="1">
        <v>7098.94</v>
      </c>
      <c r="E274" s="1" t="s">
        <v>8</v>
      </c>
      <c r="F274" s="1" t="s">
        <v>9</v>
      </c>
      <c r="G274" s="1" t="s">
        <v>23</v>
      </c>
    </row>
    <row r="275" spans="1:7" x14ac:dyDescent="0.3">
      <c r="A275" s="2">
        <v>45195</v>
      </c>
      <c r="B275" s="1">
        <v>20000</v>
      </c>
      <c r="C275" s="1" t="s">
        <v>7</v>
      </c>
      <c r="D275" s="1">
        <v>5869.73</v>
      </c>
      <c r="E275" s="1" t="s">
        <v>15</v>
      </c>
      <c r="F275" s="1" t="s">
        <v>16</v>
      </c>
      <c r="G275" s="1" t="s">
        <v>27</v>
      </c>
    </row>
    <row r="276" spans="1:7" x14ac:dyDescent="0.3">
      <c r="A276" s="2">
        <v>45077</v>
      </c>
      <c r="B276" s="1">
        <v>30000</v>
      </c>
      <c r="C276" s="1" t="s">
        <v>7</v>
      </c>
      <c r="D276" s="1">
        <v>3566.64</v>
      </c>
      <c r="E276" s="1" t="s">
        <v>8</v>
      </c>
      <c r="F276" s="1" t="s">
        <v>22</v>
      </c>
      <c r="G276" s="1" t="s">
        <v>17</v>
      </c>
    </row>
    <row r="277" spans="1:7" x14ac:dyDescent="0.3">
      <c r="A277" s="2">
        <v>44933</v>
      </c>
      <c r="B277" s="1">
        <v>90000</v>
      </c>
      <c r="C277" s="1" t="s">
        <v>14</v>
      </c>
      <c r="D277" s="1">
        <v>8316.33</v>
      </c>
      <c r="E277" s="1" t="s">
        <v>8</v>
      </c>
      <c r="F277" s="1" t="s">
        <v>13</v>
      </c>
      <c r="G277" s="1" t="s">
        <v>19</v>
      </c>
    </row>
    <row r="278" spans="1:7" x14ac:dyDescent="0.3">
      <c r="A278" s="2">
        <v>45016</v>
      </c>
      <c r="B278" s="1">
        <v>10000</v>
      </c>
      <c r="C278" s="1" t="s">
        <v>7</v>
      </c>
      <c r="D278" s="1">
        <v>7200.19</v>
      </c>
      <c r="E278" s="1" t="s">
        <v>15</v>
      </c>
      <c r="F278" s="1" t="s">
        <v>18</v>
      </c>
      <c r="G278" s="1" t="s">
        <v>12</v>
      </c>
    </row>
    <row r="279" spans="1:7" x14ac:dyDescent="0.3">
      <c r="A279" s="2">
        <v>45261</v>
      </c>
      <c r="B279" s="1">
        <v>10000</v>
      </c>
      <c r="C279" s="1" t="s">
        <v>7</v>
      </c>
      <c r="D279" s="1">
        <v>3663.06</v>
      </c>
      <c r="E279" s="1" t="s">
        <v>8</v>
      </c>
      <c r="F279" s="1" t="s">
        <v>26</v>
      </c>
      <c r="G279" s="1" t="s">
        <v>10</v>
      </c>
    </row>
    <row r="280" spans="1:7" x14ac:dyDescent="0.3">
      <c r="A280" s="2">
        <v>45138</v>
      </c>
      <c r="B280" s="1">
        <v>100000</v>
      </c>
      <c r="C280" s="1" t="s">
        <v>14</v>
      </c>
      <c r="D280" s="1">
        <v>1969.42</v>
      </c>
      <c r="E280" s="1" t="s">
        <v>8</v>
      </c>
      <c r="F280" s="1" t="s">
        <v>26</v>
      </c>
      <c r="G280" s="1" t="s">
        <v>29</v>
      </c>
    </row>
    <row r="281" spans="1:7" x14ac:dyDescent="0.3">
      <c r="A281" s="2">
        <v>45096</v>
      </c>
      <c r="B281" s="1">
        <v>30000</v>
      </c>
      <c r="C281" s="1" t="s">
        <v>7</v>
      </c>
      <c r="D281" s="1">
        <v>6046.38</v>
      </c>
      <c r="E281" s="1" t="s">
        <v>15</v>
      </c>
      <c r="F281" s="1" t="s">
        <v>32</v>
      </c>
      <c r="G281" s="1" t="s">
        <v>23</v>
      </c>
    </row>
    <row r="282" spans="1:7" x14ac:dyDescent="0.3">
      <c r="A282" s="2">
        <v>45196</v>
      </c>
      <c r="B282" s="1">
        <v>10000</v>
      </c>
      <c r="C282" s="1" t="s">
        <v>7</v>
      </c>
      <c r="D282" s="1">
        <v>3498.62</v>
      </c>
      <c r="E282" s="1" t="s">
        <v>8</v>
      </c>
      <c r="F282" s="1" t="s">
        <v>22</v>
      </c>
      <c r="G282" s="1" t="s">
        <v>27</v>
      </c>
    </row>
    <row r="283" spans="1:7" x14ac:dyDescent="0.3">
      <c r="A283" s="2">
        <v>45036</v>
      </c>
      <c r="B283" s="1">
        <v>20000</v>
      </c>
      <c r="C283" s="1" t="s">
        <v>7</v>
      </c>
      <c r="D283" s="1">
        <v>3361.07</v>
      </c>
      <c r="E283" s="1" t="s">
        <v>8</v>
      </c>
      <c r="F283" s="1" t="s">
        <v>9</v>
      </c>
      <c r="G283" s="1" t="s">
        <v>30</v>
      </c>
    </row>
    <row r="284" spans="1:7" x14ac:dyDescent="0.3">
      <c r="A284" s="2">
        <v>45290</v>
      </c>
      <c r="B284" s="1">
        <v>10000</v>
      </c>
      <c r="C284" s="1" t="s">
        <v>7</v>
      </c>
      <c r="D284" s="1">
        <v>1555.41</v>
      </c>
      <c r="E284" s="1" t="s">
        <v>15</v>
      </c>
      <c r="F284" s="1" t="s">
        <v>18</v>
      </c>
      <c r="G284" s="1" t="s">
        <v>10</v>
      </c>
    </row>
    <row r="285" spans="1:7" x14ac:dyDescent="0.3">
      <c r="A285" s="2">
        <v>45148</v>
      </c>
      <c r="B285" s="1">
        <v>70000</v>
      </c>
      <c r="C285" s="1" t="s">
        <v>14</v>
      </c>
      <c r="D285" s="1">
        <v>9823.5499999999993</v>
      </c>
      <c r="E285" s="1" t="s">
        <v>8</v>
      </c>
      <c r="F285" s="1" t="s">
        <v>9</v>
      </c>
      <c r="G285" s="1" t="s">
        <v>21</v>
      </c>
    </row>
    <row r="286" spans="1:7" x14ac:dyDescent="0.3">
      <c r="A286" s="2">
        <v>45138</v>
      </c>
      <c r="B286" s="1">
        <v>10000</v>
      </c>
      <c r="C286" s="1" t="s">
        <v>7</v>
      </c>
      <c r="D286" s="1">
        <v>5576.33</v>
      </c>
      <c r="E286" s="1" t="s">
        <v>15</v>
      </c>
      <c r="F286" s="1" t="s">
        <v>18</v>
      </c>
      <c r="G286" s="1" t="s">
        <v>29</v>
      </c>
    </row>
    <row r="287" spans="1:7" x14ac:dyDescent="0.3">
      <c r="A287" s="2">
        <v>44987</v>
      </c>
      <c r="B287" s="1">
        <v>60000</v>
      </c>
      <c r="C287" s="1" t="s">
        <v>14</v>
      </c>
      <c r="D287" s="1">
        <v>7566.32</v>
      </c>
      <c r="E287" s="1" t="s">
        <v>15</v>
      </c>
      <c r="F287" s="1" t="s">
        <v>18</v>
      </c>
      <c r="G287" s="1" t="s">
        <v>12</v>
      </c>
    </row>
    <row r="288" spans="1:7" x14ac:dyDescent="0.3">
      <c r="A288" s="2">
        <v>45151</v>
      </c>
      <c r="B288" s="1">
        <v>100000</v>
      </c>
      <c r="C288" s="1" t="s">
        <v>14</v>
      </c>
      <c r="D288" s="1">
        <v>1389.14</v>
      </c>
      <c r="E288" s="1" t="s">
        <v>8</v>
      </c>
      <c r="F288" s="1" t="s">
        <v>9</v>
      </c>
      <c r="G288" s="1" t="s">
        <v>21</v>
      </c>
    </row>
    <row r="289" spans="1:7" x14ac:dyDescent="0.3">
      <c r="A289" s="2">
        <v>45258</v>
      </c>
      <c r="B289" s="1">
        <v>30000</v>
      </c>
      <c r="C289" s="1" t="s">
        <v>7</v>
      </c>
      <c r="D289" s="1">
        <v>1721.93</v>
      </c>
      <c r="E289" s="1" t="s">
        <v>15</v>
      </c>
      <c r="F289" s="1" t="s">
        <v>32</v>
      </c>
      <c r="G289" s="1" t="s">
        <v>31</v>
      </c>
    </row>
    <row r="290" spans="1:7" x14ac:dyDescent="0.3">
      <c r="A290" s="2">
        <v>45212</v>
      </c>
      <c r="B290" s="1">
        <v>130000</v>
      </c>
      <c r="C290" s="1" t="s">
        <v>14</v>
      </c>
      <c r="D290" s="1">
        <v>6625.76</v>
      </c>
      <c r="E290" s="1" t="s">
        <v>15</v>
      </c>
      <c r="F290" s="1" t="s">
        <v>25</v>
      </c>
      <c r="G290" s="1" t="s">
        <v>28</v>
      </c>
    </row>
    <row r="291" spans="1:7" x14ac:dyDescent="0.3">
      <c r="A291" s="2">
        <v>45028</v>
      </c>
      <c r="B291" s="1">
        <v>30000</v>
      </c>
      <c r="C291" s="1" t="s">
        <v>14</v>
      </c>
      <c r="D291" s="1">
        <v>3690.79</v>
      </c>
      <c r="E291" s="1" t="s">
        <v>8</v>
      </c>
      <c r="F291" s="1" t="s">
        <v>22</v>
      </c>
      <c r="G291" s="1" t="s">
        <v>30</v>
      </c>
    </row>
    <row r="292" spans="1:7" x14ac:dyDescent="0.3">
      <c r="A292" s="2">
        <v>45103</v>
      </c>
      <c r="B292" s="1">
        <v>60000</v>
      </c>
      <c r="C292" s="1" t="s">
        <v>14</v>
      </c>
      <c r="D292" s="1">
        <v>6483.4</v>
      </c>
      <c r="E292" s="1" t="s">
        <v>8</v>
      </c>
      <c r="F292" s="1" t="s">
        <v>22</v>
      </c>
      <c r="G292" s="1" t="s">
        <v>23</v>
      </c>
    </row>
    <row r="293" spans="1:7" x14ac:dyDescent="0.3">
      <c r="A293" s="2">
        <v>45237</v>
      </c>
      <c r="B293" s="1">
        <v>40000</v>
      </c>
      <c r="C293" s="1" t="s">
        <v>7</v>
      </c>
      <c r="D293" s="1">
        <v>8517.24</v>
      </c>
      <c r="E293" s="1" t="s">
        <v>8</v>
      </c>
      <c r="F293" s="1" t="s">
        <v>9</v>
      </c>
      <c r="G293" s="1" t="s">
        <v>31</v>
      </c>
    </row>
    <row r="294" spans="1:7" x14ac:dyDescent="0.3">
      <c r="A294" s="2">
        <v>45179</v>
      </c>
      <c r="B294" s="1">
        <v>40000</v>
      </c>
      <c r="C294" s="1" t="s">
        <v>7</v>
      </c>
      <c r="D294" s="1">
        <v>6570.15</v>
      </c>
      <c r="E294" s="1" t="s">
        <v>8</v>
      </c>
      <c r="F294" s="1" t="s">
        <v>13</v>
      </c>
      <c r="G294" s="1" t="s">
        <v>27</v>
      </c>
    </row>
    <row r="295" spans="1:7" x14ac:dyDescent="0.3">
      <c r="A295" s="2">
        <v>45015</v>
      </c>
      <c r="B295" s="1">
        <v>10000</v>
      </c>
      <c r="C295" s="1" t="s">
        <v>7</v>
      </c>
      <c r="D295" s="1">
        <v>7298.29</v>
      </c>
      <c r="E295" s="1" t="s">
        <v>15</v>
      </c>
      <c r="F295" s="1" t="s">
        <v>25</v>
      </c>
      <c r="G295" s="1" t="s">
        <v>12</v>
      </c>
    </row>
    <row r="296" spans="1:7" x14ac:dyDescent="0.3">
      <c r="A296" s="2">
        <v>44965</v>
      </c>
      <c r="B296" s="1">
        <v>20000</v>
      </c>
      <c r="C296" s="1" t="s">
        <v>7</v>
      </c>
      <c r="D296" s="1">
        <v>5292.29</v>
      </c>
      <c r="E296" s="1" t="s">
        <v>15</v>
      </c>
      <c r="F296" s="1" t="s">
        <v>32</v>
      </c>
      <c r="G296" s="1" t="s">
        <v>24</v>
      </c>
    </row>
    <row r="297" spans="1:7" x14ac:dyDescent="0.3">
      <c r="A297" s="2">
        <v>45065</v>
      </c>
      <c r="B297" s="1">
        <v>110000</v>
      </c>
      <c r="C297" s="1" t="s">
        <v>14</v>
      </c>
      <c r="D297" s="1">
        <v>8765.9599999999991</v>
      </c>
      <c r="E297" s="1" t="s">
        <v>8</v>
      </c>
      <c r="F297" s="1" t="s">
        <v>13</v>
      </c>
      <c r="G297" s="1" t="s">
        <v>17</v>
      </c>
    </row>
    <row r="298" spans="1:7" x14ac:dyDescent="0.3">
      <c r="A298" s="2">
        <v>44982</v>
      </c>
      <c r="B298" s="1">
        <v>60000</v>
      </c>
      <c r="C298" s="1" t="s">
        <v>14</v>
      </c>
      <c r="D298" s="1">
        <v>295.92</v>
      </c>
      <c r="E298" s="1" t="s">
        <v>15</v>
      </c>
      <c r="F298" s="1" t="s">
        <v>20</v>
      </c>
      <c r="G298" s="1" t="s">
        <v>24</v>
      </c>
    </row>
    <row r="299" spans="1:7" x14ac:dyDescent="0.3">
      <c r="A299" s="2">
        <v>45218</v>
      </c>
      <c r="B299" s="1">
        <v>100000</v>
      </c>
      <c r="C299" s="1" t="s">
        <v>14</v>
      </c>
      <c r="D299" s="1">
        <v>7672.16</v>
      </c>
      <c r="E299" s="1" t="s">
        <v>15</v>
      </c>
      <c r="F299" s="1" t="s">
        <v>20</v>
      </c>
      <c r="G299" s="1" t="s">
        <v>28</v>
      </c>
    </row>
    <row r="300" spans="1:7" x14ac:dyDescent="0.3">
      <c r="A300" s="2">
        <v>45070</v>
      </c>
      <c r="B300" s="1">
        <v>90000</v>
      </c>
      <c r="C300" s="1" t="s">
        <v>7</v>
      </c>
      <c r="D300" s="1">
        <v>2849.12</v>
      </c>
      <c r="E300" s="1" t="s">
        <v>15</v>
      </c>
      <c r="F300" s="1" t="s">
        <v>32</v>
      </c>
      <c r="G300" s="1" t="s">
        <v>17</v>
      </c>
    </row>
    <row r="301" spans="1:7" x14ac:dyDescent="0.3">
      <c r="A301" s="2">
        <v>45194</v>
      </c>
      <c r="B301" s="1">
        <v>30000</v>
      </c>
      <c r="C301" s="1" t="s">
        <v>14</v>
      </c>
      <c r="D301" s="1">
        <v>1020.55</v>
      </c>
      <c r="E301" s="1" t="s">
        <v>8</v>
      </c>
      <c r="F301" s="1" t="s">
        <v>13</v>
      </c>
      <c r="G301" s="1" t="s">
        <v>27</v>
      </c>
    </row>
    <row r="302" spans="1:7" x14ac:dyDescent="0.3">
      <c r="A302" s="2">
        <v>45110</v>
      </c>
      <c r="B302" s="1">
        <v>10000</v>
      </c>
      <c r="C302" s="1" t="s">
        <v>14</v>
      </c>
      <c r="D302" s="1">
        <v>6628.82</v>
      </c>
      <c r="E302" s="1" t="s">
        <v>15</v>
      </c>
      <c r="F302" s="1" t="s">
        <v>32</v>
      </c>
      <c r="G302" s="1" t="s">
        <v>29</v>
      </c>
    </row>
    <row r="303" spans="1:7" x14ac:dyDescent="0.3">
      <c r="A303" s="2">
        <v>45105</v>
      </c>
      <c r="B303" s="1">
        <v>40000</v>
      </c>
      <c r="C303" s="1" t="s">
        <v>14</v>
      </c>
      <c r="D303" s="1">
        <v>5674.27</v>
      </c>
      <c r="E303" s="1" t="s">
        <v>15</v>
      </c>
      <c r="F303" s="1" t="s">
        <v>32</v>
      </c>
      <c r="G303" s="1" t="s">
        <v>23</v>
      </c>
    </row>
    <row r="304" spans="1:7" x14ac:dyDescent="0.3">
      <c r="A304" s="2">
        <v>45071</v>
      </c>
      <c r="B304" s="1">
        <v>30000</v>
      </c>
      <c r="C304" s="1" t="s">
        <v>7</v>
      </c>
      <c r="D304" s="1">
        <v>9065.8700000000008</v>
      </c>
      <c r="E304" s="1" t="s">
        <v>15</v>
      </c>
      <c r="F304" s="1" t="s">
        <v>20</v>
      </c>
      <c r="G304" s="1" t="s">
        <v>17</v>
      </c>
    </row>
    <row r="305" spans="1:7" x14ac:dyDescent="0.3">
      <c r="A305" s="2">
        <v>45221</v>
      </c>
      <c r="B305" s="1">
        <v>30000</v>
      </c>
      <c r="C305" s="1" t="s">
        <v>7</v>
      </c>
      <c r="D305" s="1">
        <v>9605.2900000000009</v>
      </c>
      <c r="E305" s="1" t="s">
        <v>8</v>
      </c>
      <c r="F305" s="1" t="s">
        <v>22</v>
      </c>
      <c r="G305" s="1" t="s">
        <v>28</v>
      </c>
    </row>
    <row r="306" spans="1:7" x14ac:dyDescent="0.3">
      <c r="A306" s="2">
        <v>44952</v>
      </c>
      <c r="B306" s="1">
        <v>80000</v>
      </c>
      <c r="C306" s="1" t="s">
        <v>14</v>
      </c>
      <c r="D306" s="1">
        <v>933.01</v>
      </c>
      <c r="E306" s="1" t="s">
        <v>8</v>
      </c>
      <c r="F306" s="1" t="s">
        <v>13</v>
      </c>
      <c r="G306" s="1" t="s">
        <v>19</v>
      </c>
    </row>
    <row r="307" spans="1:7" x14ac:dyDescent="0.3">
      <c r="A307" s="2">
        <v>45059</v>
      </c>
      <c r="B307" s="1">
        <v>10000</v>
      </c>
      <c r="C307" s="1" t="s">
        <v>14</v>
      </c>
      <c r="D307" s="1">
        <v>6918.43</v>
      </c>
      <c r="E307" s="1" t="s">
        <v>8</v>
      </c>
      <c r="F307" s="1" t="s">
        <v>9</v>
      </c>
      <c r="G307" s="1" t="s">
        <v>17</v>
      </c>
    </row>
    <row r="308" spans="1:7" x14ac:dyDescent="0.3">
      <c r="A308" s="2">
        <v>45158</v>
      </c>
      <c r="B308" s="1">
        <v>90000</v>
      </c>
      <c r="C308" s="1" t="s">
        <v>14</v>
      </c>
      <c r="D308" s="1">
        <v>1144.32</v>
      </c>
      <c r="E308" s="1" t="s">
        <v>8</v>
      </c>
      <c r="F308" s="1" t="s">
        <v>13</v>
      </c>
      <c r="G308" s="1" t="s">
        <v>21</v>
      </c>
    </row>
    <row r="309" spans="1:7" x14ac:dyDescent="0.3">
      <c r="A309" s="2">
        <v>44933</v>
      </c>
      <c r="B309" s="1">
        <v>10000</v>
      </c>
      <c r="C309" s="1" t="s">
        <v>7</v>
      </c>
      <c r="D309" s="1">
        <v>3989.82</v>
      </c>
      <c r="E309" s="1" t="s">
        <v>8</v>
      </c>
      <c r="F309" s="1" t="s">
        <v>13</v>
      </c>
      <c r="G309" s="1" t="s">
        <v>19</v>
      </c>
    </row>
    <row r="310" spans="1:7" x14ac:dyDescent="0.3">
      <c r="A310" s="2">
        <v>45112</v>
      </c>
      <c r="B310" s="1">
        <v>40000</v>
      </c>
      <c r="C310" s="1" t="s">
        <v>7</v>
      </c>
      <c r="D310" s="1">
        <v>9780.74</v>
      </c>
      <c r="E310" s="1" t="s">
        <v>8</v>
      </c>
      <c r="F310" s="1" t="s">
        <v>9</v>
      </c>
      <c r="G310" s="1" t="s">
        <v>29</v>
      </c>
    </row>
    <row r="311" spans="1:7" x14ac:dyDescent="0.3">
      <c r="A311" s="2">
        <v>45190</v>
      </c>
      <c r="B311" s="1">
        <v>20000</v>
      </c>
      <c r="C311" s="1" t="s">
        <v>7</v>
      </c>
      <c r="D311" s="1">
        <v>1329.94</v>
      </c>
      <c r="E311" s="1" t="s">
        <v>15</v>
      </c>
      <c r="F311" s="1" t="s">
        <v>20</v>
      </c>
      <c r="G311" s="1" t="s">
        <v>27</v>
      </c>
    </row>
    <row r="312" spans="1:7" x14ac:dyDescent="0.3">
      <c r="A312" s="2">
        <v>44947</v>
      </c>
      <c r="B312" s="1">
        <v>120000</v>
      </c>
      <c r="C312" s="1" t="s">
        <v>14</v>
      </c>
      <c r="D312" s="1">
        <v>9795.76</v>
      </c>
      <c r="E312" s="1" t="s">
        <v>15</v>
      </c>
      <c r="F312" s="1" t="s">
        <v>25</v>
      </c>
      <c r="G312" s="1" t="s">
        <v>19</v>
      </c>
    </row>
    <row r="313" spans="1:7" x14ac:dyDescent="0.3">
      <c r="A313" s="2">
        <v>44940</v>
      </c>
      <c r="B313" s="1">
        <v>60000</v>
      </c>
      <c r="C313" s="1" t="s">
        <v>14</v>
      </c>
      <c r="D313" s="1">
        <v>7585.39</v>
      </c>
      <c r="E313" s="1" t="s">
        <v>8</v>
      </c>
      <c r="F313" s="1" t="s">
        <v>9</v>
      </c>
      <c r="G313" s="1" t="s">
        <v>19</v>
      </c>
    </row>
    <row r="314" spans="1:7" x14ac:dyDescent="0.3">
      <c r="A314" s="2">
        <v>44979</v>
      </c>
      <c r="B314" s="1">
        <v>20000</v>
      </c>
      <c r="C314" s="1" t="s">
        <v>14</v>
      </c>
      <c r="D314" s="1">
        <v>6361.68</v>
      </c>
      <c r="E314" s="1" t="s">
        <v>8</v>
      </c>
      <c r="F314" s="1" t="s">
        <v>13</v>
      </c>
      <c r="G314" s="1" t="s">
        <v>24</v>
      </c>
    </row>
    <row r="315" spans="1:7" x14ac:dyDescent="0.3">
      <c r="A315" s="2">
        <v>45100</v>
      </c>
      <c r="B315" s="1">
        <v>40000</v>
      </c>
      <c r="C315" s="1" t="s">
        <v>14</v>
      </c>
      <c r="D315" s="1">
        <v>3089.5</v>
      </c>
      <c r="E315" s="1" t="s">
        <v>15</v>
      </c>
      <c r="F315" s="1" t="s">
        <v>20</v>
      </c>
      <c r="G315" s="1" t="s">
        <v>23</v>
      </c>
    </row>
    <row r="316" spans="1:7" x14ac:dyDescent="0.3">
      <c r="A316" s="2">
        <v>45027</v>
      </c>
      <c r="B316" s="1">
        <v>80000</v>
      </c>
      <c r="C316" s="1" t="s">
        <v>14</v>
      </c>
      <c r="D316" s="1">
        <v>6704.26</v>
      </c>
      <c r="E316" s="1" t="s">
        <v>8</v>
      </c>
      <c r="F316" s="1" t="s">
        <v>26</v>
      </c>
      <c r="G316" s="1" t="s">
        <v>30</v>
      </c>
    </row>
    <row r="317" spans="1:7" x14ac:dyDescent="0.3">
      <c r="A317" s="2">
        <v>45252</v>
      </c>
      <c r="B317" s="1">
        <v>70000</v>
      </c>
      <c r="C317" s="1" t="s">
        <v>14</v>
      </c>
      <c r="D317" s="1">
        <v>879.97</v>
      </c>
      <c r="E317" s="1" t="s">
        <v>8</v>
      </c>
      <c r="F317" s="1" t="s">
        <v>9</v>
      </c>
      <c r="G317" s="1" t="s">
        <v>31</v>
      </c>
    </row>
    <row r="318" spans="1:7" x14ac:dyDescent="0.3">
      <c r="A318" s="2">
        <v>45277</v>
      </c>
      <c r="B318" s="1">
        <v>50000</v>
      </c>
      <c r="C318" s="1" t="s">
        <v>14</v>
      </c>
      <c r="D318" s="1">
        <v>2373.1799999999998</v>
      </c>
      <c r="E318" s="1" t="s">
        <v>15</v>
      </c>
      <c r="F318" s="1" t="s">
        <v>18</v>
      </c>
      <c r="G318" s="1" t="s">
        <v>10</v>
      </c>
    </row>
    <row r="319" spans="1:7" x14ac:dyDescent="0.3">
      <c r="A319" s="2">
        <v>45271</v>
      </c>
      <c r="B319" s="1">
        <v>30000</v>
      </c>
      <c r="C319" s="1" t="s">
        <v>7</v>
      </c>
      <c r="D319" s="1">
        <v>5298.97</v>
      </c>
      <c r="E319" s="1" t="s">
        <v>8</v>
      </c>
      <c r="F319" s="1" t="s">
        <v>26</v>
      </c>
      <c r="G319" s="1" t="s">
        <v>10</v>
      </c>
    </row>
    <row r="320" spans="1:7" x14ac:dyDescent="0.3">
      <c r="A320" s="2">
        <v>45077</v>
      </c>
      <c r="B320" s="1">
        <v>130000</v>
      </c>
      <c r="C320" s="1" t="s">
        <v>7</v>
      </c>
      <c r="D320" s="1">
        <v>1783.8</v>
      </c>
      <c r="E320" s="1" t="s">
        <v>15</v>
      </c>
      <c r="F320" s="1" t="s">
        <v>16</v>
      </c>
      <c r="G320" s="1" t="s">
        <v>17</v>
      </c>
    </row>
    <row r="321" spans="1:7" x14ac:dyDescent="0.3">
      <c r="A321" s="2">
        <v>45197</v>
      </c>
      <c r="B321" s="1">
        <v>30000</v>
      </c>
      <c r="C321" s="1" t="s">
        <v>7</v>
      </c>
      <c r="D321" s="1">
        <v>687.23</v>
      </c>
      <c r="E321" s="1" t="s">
        <v>8</v>
      </c>
      <c r="F321" s="1" t="s">
        <v>11</v>
      </c>
      <c r="G321" s="1" t="s">
        <v>27</v>
      </c>
    </row>
    <row r="322" spans="1:7" x14ac:dyDescent="0.3">
      <c r="A322" s="2">
        <v>45060</v>
      </c>
      <c r="B322" s="1">
        <v>100000</v>
      </c>
      <c r="C322" s="1" t="s">
        <v>14</v>
      </c>
      <c r="D322" s="1">
        <v>9333.17</v>
      </c>
      <c r="E322" s="1" t="s">
        <v>15</v>
      </c>
      <c r="F322" s="1" t="s">
        <v>32</v>
      </c>
      <c r="G322" s="1" t="s">
        <v>17</v>
      </c>
    </row>
    <row r="323" spans="1:7" x14ac:dyDescent="0.3">
      <c r="A323" s="2">
        <v>45140</v>
      </c>
      <c r="B323" s="1">
        <v>160000</v>
      </c>
      <c r="C323" s="1" t="s">
        <v>14</v>
      </c>
      <c r="D323" s="1">
        <v>2239.1799999999998</v>
      </c>
      <c r="E323" s="1" t="s">
        <v>15</v>
      </c>
      <c r="F323" s="1" t="s">
        <v>32</v>
      </c>
      <c r="G323" s="1" t="s">
        <v>21</v>
      </c>
    </row>
    <row r="324" spans="1:7" x14ac:dyDescent="0.3">
      <c r="A324" s="2">
        <v>45254</v>
      </c>
      <c r="B324" s="1">
        <v>10000</v>
      </c>
      <c r="C324" s="1" t="s">
        <v>7</v>
      </c>
      <c r="D324" s="1">
        <v>8589.58</v>
      </c>
      <c r="E324" s="1" t="s">
        <v>8</v>
      </c>
      <c r="F324" s="1" t="s">
        <v>26</v>
      </c>
      <c r="G324" s="1" t="s">
        <v>31</v>
      </c>
    </row>
    <row r="325" spans="1:7" x14ac:dyDescent="0.3">
      <c r="A325" s="2">
        <v>45196</v>
      </c>
      <c r="B325" s="1">
        <v>40000</v>
      </c>
      <c r="C325" s="1" t="s">
        <v>7</v>
      </c>
      <c r="D325" s="1">
        <v>213.27</v>
      </c>
      <c r="E325" s="1" t="s">
        <v>8</v>
      </c>
      <c r="F325" s="1" t="s">
        <v>11</v>
      </c>
      <c r="G325" s="1" t="s">
        <v>27</v>
      </c>
    </row>
    <row r="326" spans="1:7" x14ac:dyDescent="0.3">
      <c r="A326" s="2">
        <v>45017</v>
      </c>
      <c r="B326" s="1">
        <v>90000</v>
      </c>
      <c r="C326" s="1" t="s">
        <v>14</v>
      </c>
      <c r="D326" s="1">
        <v>903.12</v>
      </c>
      <c r="E326" s="1" t="s">
        <v>15</v>
      </c>
      <c r="F326" s="1" t="s">
        <v>32</v>
      </c>
      <c r="G326" s="1" t="s">
        <v>30</v>
      </c>
    </row>
    <row r="327" spans="1:7" x14ac:dyDescent="0.3">
      <c r="A327" s="2">
        <v>44998</v>
      </c>
      <c r="B327" s="1">
        <v>40000</v>
      </c>
      <c r="C327" s="1" t="s">
        <v>7</v>
      </c>
      <c r="D327" s="1">
        <v>3409.63</v>
      </c>
      <c r="E327" s="1" t="s">
        <v>15</v>
      </c>
      <c r="F327" s="1" t="s">
        <v>18</v>
      </c>
      <c r="G327" s="1" t="s">
        <v>12</v>
      </c>
    </row>
    <row r="328" spans="1:7" x14ac:dyDescent="0.3">
      <c r="A328" s="2">
        <v>44990</v>
      </c>
      <c r="B328" s="1">
        <v>20000</v>
      </c>
      <c r="C328" s="1" t="s">
        <v>14</v>
      </c>
      <c r="D328" s="1">
        <v>6182.78</v>
      </c>
      <c r="E328" s="1" t="s">
        <v>8</v>
      </c>
      <c r="F328" s="1" t="s">
        <v>13</v>
      </c>
      <c r="G328" s="1" t="s">
        <v>12</v>
      </c>
    </row>
    <row r="329" spans="1:7" x14ac:dyDescent="0.3">
      <c r="A329" s="2">
        <v>45118</v>
      </c>
      <c r="B329" s="1">
        <v>30000</v>
      </c>
      <c r="C329" s="1" t="s">
        <v>7</v>
      </c>
      <c r="D329" s="1">
        <v>2163.0300000000002</v>
      </c>
      <c r="E329" s="1" t="s">
        <v>8</v>
      </c>
      <c r="F329" s="1" t="s">
        <v>11</v>
      </c>
      <c r="G329" s="1" t="s">
        <v>29</v>
      </c>
    </row>
    <row r="330" spans="1:7" x14ac:dyDescent="0.3">
      <c r="A330" s="2">
        <v>45021</v>
      </c>
      <c r="B330" s="1">
        <v>40000</v>
      </c>
      <c r="C330" s="1" t="s">
        <v>7</v>
      </c>
      <c r="D330" s="1">
        <v>8838.66</v>
      </c>
      <c r="E330" s="1" t="s">
        <v>8</v>
      </c>
      <c r="F330" s="1" t="s">
        <v>22</v>
      </c>
      <c r="G330" s="1" t="s">
        <v>30</v>
      </c>
    </row>
    <row r="331" spans="1:7" x14ac:dyDescent="0.3">
      <c r="A331" s="2">
        <v>45105</v>
      </c>
      <c r="B331" s="1">
        <v>90000</v>
      </c>
      <c r="C331" s="1" t="s">
        <v>7</v>
      </c>
      <c r="D331" s="1">
        <v>8986.5499999999993</v>
      </c>
      <c r="E331" s="1" t="s">
        <v>8</v>
      </c>
      <c r="F331" s="1" t="s">
        <v>11</v>
      </c>
      <c r="G331" s="1" t="s">
        <v>23</v>
      </c>
    </row>
    <row r="332" spans="1:7" x14ac:dyDescent="0.3">
      <c r="A332" s="2">
        <v>45169</v>
      </c>
      <c r="B332" s="1">
        <v>80000</v>
      </c>
      <c r="C332" s="1" t="s">
        <v>14</v>
      </c>
      <c r="D332" s="1">
        <v>8254.7900000000009</v>
      </c>
      <c r="E332" s="1" t="s">
        <v>15</v>
      </c>
      <c r="F332" s="1" t="s">
        <v>32</v>
      </c>
      <c r="G332" s="1" t="s">
        <v>21</v>
      </c>
    </row>
    <row r="333" spans="1:7" x14ac:dyDescent="0.3">
      <c r="A333" s="2">
        <v>45072</v>
      </c>
      <c r="B333" s="1">
        <v>10000</v>
      </c>
      <c r="C333" s="1" t="s">
        <v>7</v>
      </c>
      <c r="D333" s="1">
        <v>3301.04</v>
      </c>
      <c r="E333" s="1" t="s">
        <v>15</v>
      </c>
      <c r="F333" s="1" t="s">
        <v>16</v>
      </c>
      <c r="G333" s="1" t="s">
        <v>17</v>
      </c>
    </row>
    <row r="334" spans="1:7" x14ac:dyDescent="0.3">
      <c r="A334" s="2">
        <v>44994</v>
      </c>
      <c r="B334" s="1">
        <v>20000</v>
      </c>
      <c r="C334" s="1" t="s">
        <v>7</v>
      </c>
      <c r="D334" s="1">
        <v>6879.56</v>
      </c>
      <c r="E334" s="1" t="s">
        <v>8</v>
      </c>
      <c r="F334" s="1" t="s">
        <v>9</v>
      </c>
      <c r="G334" s="1" t="s">
        <v>12</v>
      </c>
    </row>
    <row r="335" spans="1:7" x14ac:dyDescent="0.3">
      <c r="A335" s="2">
        <v>44950</v>
      </c>
      <c r="B335" s="1">
        <v>130000</v>
      </c>
      <c r="C335" s="1" t="s">
        <v>7</v>
      </c>
      <c r="D335" s="1">
        <v>8588.26</v>
      </c>
      <c r="E335" s="1" t="s">
        <v>8</v>
      </c>
      <c r="F335" s="1" t="s">
        <v>26</v>
      </c>
      <c r="G335" s="1" t="s">
        <v>19</v>
      </c>
    </row>
    <row r="336" spans="1:7" x14ac:dyDescent="0.3">
      <c r="A336" s="2">
        <v>45010</v>
      </c>
      <c r="B336" s="1">
        <v>90000</v>
      </c>
      <c r="C336" s="1" t="s">
        <v>14</v>
      </c>
      <c r="D336" s="1">
        <v>7301.19</v>
      </c>
      <c r="E336" s="1" t="s">
        <v>8</v>
      </c>
      <c r="F336" s="1" t="s">
        <v>26</v>
      </c>
      <c r="G336" s="1" t="s">
        <v>12</v>
      </c>
    </row>
    <row r="337" spans="1:7" x14ac:dyDescent="0.3">
      <c r="A337" s="2">
        <v>45056</v>
      </c>
      <c r="B337" s="1">
        <v>80000</v>
      </c>
      <c r="C337" s="1" t="s">
        <v>14</v>
      </c>
      <c r="D337" s="1">
        <v>8796.93</v>
      </c>
      <c r="E337" s="1" t="s">
        <v>15</v>
      </c>
      <c r="F337" s="1" t="s">
        <v>18</v>
      </c>
      <c r="G337" s="1" t="s">
        <v>17</v>
      </c>
    </row>
    <row r="338" spans="1:7" x14ac:dyDescent="0.3">
      <c r="A338" s="2">
        <v>45195</v>
      </c>
      <c r="B338" s="1">
        <v>20000</v>
      </c>
      <c r="C338" s="1" t="s">
        <v>7</v>
      </c>
      <c r="D338" s="1">
        <v>637.22</v>
      </c>
      <c r="E338" s="1" t="s">
        <v>8</v>
      </c>
      <c r="F338" s="1" t="s">
        <v>11</v>
      </c>
      <c r="G338" s="1" t="s">
        <v>27</v>
      </c>
    </row>
    <row r="339" spans="1:7" x14ac:dyDescent="0.3">
      <c r="A339" s="2">
        <v>44967</v>
      </c>
      <c r="B339" s="1">
        <v>10000</v>
      </c>
      <c r="C339" s="1" t="s">
        <v>7</v>
      </c>
      <c r="D339" s="1">
        <v>9367.89</v>
      </c>
      <c r="E339" s="1" t="s">
        <v>8</v>
      </c>
      <c r="F339" s="1" t="s">
        <v>11</v>
      </c>
      <c r="G339" s="1" t="s">
        <v>24</v>
      </c>
    </row>
    <row r="340" spans="1:7" x14ac:dyDescent="0.3">
      <c r="A340" s="2">
        <v>45151</v>
      </c>
      <c r="B340" s="1">
        <v>120000</v>
      </c>
      <c r="C340" s="1" t="s">
        <v>7</v>
      </c>
      <c r="D340" s="1">
        <v>2181.29</v>
      </c>
      <c r="E340" s="1" t="s">
        <v>8</v>
      </c>
      <c r="F340" s="1" t="s">
        <v>9</v>
      </c>
      <c r="G340" s="1" t="s">
        <v>21</v>
      </c>
    </row>
    <row r="341" spans="1:7" x14ac:dyDescent="0.3">
      <c r="A341" s="2">
        <v>44952</v>
      </c>
      <c r="B341" s="1">
        <v>20000</v>
      </c>
      <c r="C341" s="1" t="s">
        <v>7</v>
      </c>
      <c r="D341" s="1">
        <v>1592.13</v>
      </c>
      <c r="E341" s="1" t="s">
        <v>8</v>
      </c>
      <c r="F341" s="1" t="s">
        <v>22</v>
      </c>
      <c r="G341" s="1" t="s">
        <v>19</v>
      </c>
    </row>
    <row r="342" spans="1:7" x14ac:dyDescent="0.3">
      <c r="A342" s="2">
        <v>45259</v>
      </c>
      <c r="B342" s="1">
        <v>30000</v>
      </c>
      <c r="C342" s="1" t="s">
        <v>7</v>
      </c>
      <c r="D342" s="1">
        <v>8149.9</v>
      </c>
      <c r="E342" s="1" t="s">
        <v>8</v>
      </c>
      <c r="F342" s="1" t="s">
        <v>22</v>
      </c>
      <c r="G342" s="1" t="s">
        <v>31</v>
      </c>
    </row>
    <row r="343" spans="1:7" x14ac:dyDescent="0.3">
      <c r="A343" s="2">
        <v>45060</v>
      </c>
      <c r="B343" s="1">
        <v>30000</v>
      </c>
      <c r="C343" s="1" t="s">
        <v>7</v>
      </c>
      <c r="D343" s="1">
        <v>2761.82</v>
      </c>
      <c r="E343" s="1" t="s">
        <v>8</v>
      </c>
      <c r="F343" s="1" t="s">
        <v>26</v>
      </c>
      <c r="G343" s="1" t="s">
        <v>17</v>
      </c>
    </row>
    <row r="344" spans="1:7" x14ac:dyDescent="0.3">
      <c r="A344" s="2">
        <v>45133</v>
      </c>
      <c r="B344" s="1">
        <v>10000</v>
      </c>
      <c r="C344" s="1" t="s">
        <v>7</v>
      </c>
      <c r="D344" s="1">
        <v>8524.9500000000007</v>
      </c>
      <c r="E344" s="1" t="s">
        <v>15</v>
      </c>
      <c r="F344" s="1" t="s">
        <v>18</v>
      </c>
      <c r="G344" s="1" t="s">
        <v>29</v>
      </c>
    </row>
    <row r="345" spans="1:7" x14ac:dyDescent="0.3">
      <c r="A345" s="2">
        <v>44967</v>
      </c>
      <c r="B345" s="1">
        <v>30000</v>
      </c>
      <c r="C345" s="1" t="s">
        <v>7</v>
      </c>
      <c r="D345" s="1">
        <v>7346.98</v>
      </c>
      <c r="E345" s="1" t="s">
        <v>15</v>
      </c>
      <c r="F345" s="1" t="s">
        <v>25</v>
      </c>
      <c r="G345" s="1" t="s">
        <v>24</v>
      </c>
    </row>
    <row r="346" spans="1:7" x14ac:dyDescent="0.3">
      <c r="A346" s="2">
        <v>45078</v>
      </c>
      <c r="B346" s="1">
        <v>30000</v>
      </c>
      <c r="C346" s="1" t="s">
        <v>7</v>
      </c>
      <c r="D346" s="1">
        <v>5005.08</v>
      </c>
      <c r="E346" s="1" t="s">
        <v>8</v>
      </c>
      <c r="F346" s="1" t="s">
        <v>22</v>
      </c>
      <c r="G346" s="1" t="s">
        <v>23</v>
      </c>
    </row>
    <row r="347" spans="1:7" x14ac:dyDescent="0.3">
      <c r="A347" s="2">
        <v>44958</v>
      </c>
      <c r="B347" s="1">
        <v>20000</v>
      </c>
      <c r="C347" s="1" t="s">
        <v>7</v>
      </c>
      <c r="D347" s="1">
        <v>4967.17</v>
      </c>
      <c r="E347" s="1" t="s">
        <v>8</v>
      </c>
      <c r="F347" s="1" t="s">
        <v>22</v>
      </c>
      <c r="G347" s="1" t="s">
        <v>24</v>
      </c>
    </row>
    <row r="348" spans="1:7" x14ac:dyDescent="0.3">
      <c r="A348" s="2">
        <v>44976</v>
      </c>
      <c r="B348" s="1">
        <v>40000</v>
      </c>
      <c r="C348" s="1" t="s">
        <v>7</v>
      </c>
      <c r="D348" s="1">
        <v>5812.48</v>
      </c>
      <c r="E348" s="1" t="s">
        <v>8</v>
      </c>
      <c r="F348" s="1" t="s">
        <v>26</v>
      </c>
      <c r="G348" s="1" t="s">
        <v>24</v>
      </c>
    </row>
    <row r="349" spans="1:7" x14ac:dyDescent="0.3">
      <c r="A349" s="2">
        <v>45042</v>
      </c>
      <c r="B349" s="1">
        <v>60000</v>
      </c>
      <c r="C349" s="1" t="s">
        <v>14</v>
      </c>
      <c r="D349" s="1">
        <v>1441.5</v>
      </c>
      <c r="E349" s="1" t="s">
        <v>15</v>
      </c>
      <c r="F349" s="1" t="s">
        <v>20</v>
      </c>
      <c r="G349" s="1" t="s">
        <v>30</v>
      </c>
    </row>
    <row r="350" spans="1:7" x14ac:dyDescent="0.3">
      <c r="A350" s="2">
        <v>45064</v>
      </c>
      <c r="B350" s="1">
        <v>20000</v>
      </c>
      <c r="C350" s="1" t="s">
        <v>7</v>
      </c>
      <c r="D350" s="1">
        <v>4162.2</v>
      </c>
      <c r="E350" s="1" t="s">
        <v>8</v>
      </c>
      <c r="F350" s="1" t="s">
        <v>26</v>
      </c>
      <c r="G350" s="1" t="s">
        <v>17</v>
      </c>
    </row>
    <row r="351" spans="1:7" x14ac:dyDescent="0.3">
      <c r="A351" s="2">
        <v>45007</v>
      </c>
      <c r="B351" s="1">
        <v>30000</v>
      </c>
      <c r="C351" s="1" t="s">
        <v>7</v>
      </c>
      <c r="D351" s="1">
        <v>897.68</v>
      </c>
      <c r="E351" s="1" t="s">
        <v>8</v>
      </c>
      <c r="F351" s="1" t="s">
        <v>26</v>
      </c>
      <c r="G351" s="1" t="s">
        <v>12</v>
      </c>
    </row>
    <row r="352" spans="1:7" x14ac:dyDescent="0.3">
      <c r="A352" s="2">
        <v>45265</v>
      </c>
      <c r="B352" s="1">
        <v>20000</v>
      </c>
      <c r="C352" s="1" t="s">
        <v>14</v>
      </c>
      <c r="D352" s="1">
        <v>4057.86</v>
      </c>
      <c r="E352" s="1" t="s">
        <v>8</v>
      </c>
      <c r="F352" s="1" t="s">
        <v>13</v>
      </c>
      <c r="G352" s="1" t="s">
        <v>10</v>
      </c>
    </row>
    <row r="353" spans="1:7" x14ac:dyDescent="0.3">
      <c r="A353" s="2">
        <v>44927</v>
      </c>
      <c r="B353" s="1">
        <v>10000</v>
      </c>
      <c r="C353" s="1" t="s">
        <v>7</v>
      </c>
      <c r="D353" s="1">
        <v>6881.39</v>
      </c>
      <c r="E353" s="1" t="s">
        <v>8</v>
      </c>
      <c r="F353" s="1" t="s">
        <v>22</v>
      </c>
      <c r="G353" s="1" t="s">
        <v>19</v>
      </c>
    </row>
    <row r="354" spans="1:7" x14ac:dyDescent="0.3">
      <c r="A354" s="2">
        <v>44978</v>
      </c>
      <c r="B354" s="1">
        <v>80000</v>
      </c>
      <c r="C354" s="1" t="s">
        <v>7</v>
      </c>
      <c r="D354" s="1">
        <v>1084.81</v>
      </c>
      <c r="E354" s="1" t="s">
        <v>8</v>
      </c>
      <c r="F354" s="1" t="s">
        <v>11</v>
      </c>
      <c r="G354" s="1" t="s">
        <v>24</v>
      </c>
    </row>
    <row r="355" spans="1:7" x14ac:dyDescent="0.3">
      <c r="A355" s="2">
        <v>44982</v>
      </c>
      <c r="B355" s="1">
        <v>40000</v>
      </c>
      <c r="C355" s="1" t="s">
        <v>7</v>
      </c>
      <c r="D355" s="1">
        <v>6513.86</v>
      </c>
      <c r="E355" s="1" t="s">
        <v>15</v>
      </c>
      <c r="F355" s="1" t="s">
        <v>20</v>
      </c>
      <c r="G355" s="1" t="s">
        <v>24</v>
      </c>
    </row>
    <row r="356" spans="1:7" x14ac:dyDescent="0.3">
      <c r="A356" s="2">
        <v>45181</v>
      </c>
      <c r="B356" s="1">
        <v>30000</v>
      </c>
      <c r="C356" s="1" t="s">
        <v>7</v>
      </c>
      <c r="D356" s="1">
        <v>9691.69</v>
      </c>
      <c r="E356" s="1" t="s">
        <v>15</v>
      </c>
      <c r="F356" s="1" t="s">
        <v>25</v>
      </c>
      <c r="G356" s="1" t="s">
        <v>27</v>
      </c>
    </row>
    <row r="357" spans="1:7" x14ac:dyDescent="0.3">
      <c r="A357" s="2">
        <v>44973</v>
      </c>
      <c r="B357" s="1">
        <v>80000</v>
      </c>
      <c r="C357" s="1" t="s">
        <v>14</v>
      </c>
      <c r="D357" s="1">
        <v>1368.87</v>
      </c>
      <c r="E357" s="1" t="s">
        <v>15</v>
      </c>
      <c r="F357" s="1" t="s">
        <v>25</v>
      </c>
      <c r="G357" s="1" t="s">
        <v>24</v>
      </c>
    </row>
    <row r="358" spans="1:7" x14ac:dyDescent="0.3">
      <c r="A358" s="2">
        <v>45038</v>
      </c>
      <c r="B358" s="1">
        <v>150000</v>
      </c>
      <c r="C358" s="1" t="s">
        <v>7</v>
      </c>
      <c r="D358" s="1">
        <v>6985.85</v>
      </c>
      <c r="E358" s="1" t="s">
        <v>8</v>
      </c>
      <c r="F358" s="1" t="s">
        <v>13</v>
      </c>
      <c r="G358" s="1" t="s">
        <v>30</v>
      </c>
    </row>
    <row r="359" spans="1:7" x14ac:dyDescent="0.3">
      <c r="A359" s="2">
        <v>44938</v>
      </c>
      <c r="B359" s="1">
        <v>10000</v>
      </c>
      <c r="C359" s="1" t="s">
        <v>7</v>
      </c>
      <c r="D359" s="1">
        <v>124.57</v>
      </c>
      <c r="E359" s="1" t="s">
        <v>15</v>
      </c>
      <c r="F359" s="1" t="s">
        <v>20</v>
      </c>
      <c r="G359" s="1" t="s">
        <v>19</v>
      </c>
    </row>
    <row r="360" spans="1:7" x14ac:dyDescent="0.3">
      <c r="A360" s="2">
        <v>45268</v>
      </c>
      <c r="B360" s="1">
        <v>90000</v>
      </c>
      <c r="C360" s="1" t="s">
        <v>7</v>
      </c>
      <c r="D360" s="1">
        <v>1105.48</v>
      </c>
      <c r="E360" s="1" t="s">
        <v>8</v>
      </c>
      <c r="F360" s="1" t="s">
        <v>26</v>
      </c>
      <c r="G360" s="1" t="s">
        <v>10</v>
      </c>
    </row>
    <row r="361" spans="1:7" x14ac:dyDescent="0.3">
      <c r="A361" s="2">
        <v>45042</v>
      </c>
      <c r="B361" s="1">
        <v>80000</v>
      </c>
      <c r="C361" s="1" t="s">
        <v>14</v>
      </c>
      <c r="D361" s="1">
        <v>3760.76</v>
      </c>
      <c r="E361" s="1" t="s">
        <v>8</v>
      </c>
      <c r="F361" s="1" t="s">
        <v>26</v>
      </c>
      <c r="G361" s="1" t="s">
        <v>30</v>
      </c>
    </row>
    <row r="362" spans="1:7" x14ac:dyDescent="0.3">
      <c r="A362" s="2">
        <v>45062</v>
      </c>
      <c r="B362" s="1">
        <v>130000</v>
      </c>
      <c r="C362" s="1" t="s">
        <v>14</v>
      </c>
      <c r="D362" s="1">
        <v>5186.66</v>
      </c>
      <c r="E362" s="1" t="s">
        <v>15</v>
      </c>
      <c r="F362" s="1" t="s">
        <v>20</v>
      </c>
      <c r="G362" s="1" t="s">
        <v>17</v>
      </c>
    </row>
    <row r="363" spans="1:7" x14ac:dyDescent="0.3">
      <c r="A363" s="2">
        <v>45203</v>
      </c>
      <c r="B363" s="1">
        <v>30000</v>
      </c>
      <c r="C363" s="1" t="s">
        <v>7</v>
      </c>
      <c r="D363" s="1">
        <v>7904.74</v>
      </c>
      <c r="E363" s="1" t="s">
        <v>15</v>
      </c>
      <c r="F363" s="1" t="s">
        <v>32</v>
      </c>
      <c r="G363" s="1" t="s">
        <v>28</v>
      </c>
    </row>
    <row r="364" spans="1:7" x14ac:dyDescent="0.3">
      <c r="A364" s="2">
        <v>45100</v>
      </c>
      <c r="B364" s="1">
        <v>40000</v>
      </c>
      <c r="C364" s="1" t="s">
        <v>7</v>
      </c>
      <c r="D364" s="1">
        <v>7495.12</v>
      </c>
      <c r="E364" s="1" t="s">
        <v>8</v>
      </c>
      <c r="F364" s="1" t="s">
        <v>22</v>
      </c>
      <c r="G364" s="1" t="s">
        <v>23</v>
      </c>
    </row>
    <row r="365" spans="1:7" x14ac:dyDescent="0.3">
      <c r="A365" s="2">
        <v>45283</v>
      </c>
      <c r="B365" s="1">
        <v>40000</v>
      </c>
      <c r="C365" s="1" t="s">
        <v>14</v>
      </c>
      <c r="D365" s="1">
        <v>4319.1400000000003</v>
      </c>
      <c r="E365" s="1" t="s">
        <v>15</v>
      </c>
      <c r="F365" s="1" t="s">
        <v>32</v>
      </c>
      <c r="G365" s="1" t="s">
        <v>10</v>
      </c>
    </row>
    <row r="366" spans="1:7" x14ac:dyDescent="0.3">
      <c r="A366" s="2">
        <v>45022</v>
      </c>
      <c r="B366" s="1">
        <v>10000</v>
      </c>
      <c r="C366" s="1" t="s">
        <v>7</v>
      </c>
      <c r="D366" s="1">
        <v>5869.93</v>
      </c>
      <c r="E366" s="1" t="s">
        <v>8</v>
      </c>
      <c r="F366" s="1" t="s">
        <v>22</v>
      </c>
      <c r="G366" s="1" t="s">
        <v>30</v>
      </c>
    </row>
    <row r="367" spans="1:7" x14ac:dyDescent="0.3">
      <c r="A367" s="2">
        <v>45268</v>
      </c>
      <c r="B367" s="1">
        <v>40000</v>
      </c>
      <c r="C367" s="1" t="s">
        <v>7</v>
      </c>
      <c r="D367" s="1">
        <v>5081.8</v>
      </c>
      <c r="E367" s="1" t="s">
        <v>8</v>
      </c>
      <c r="F367" s="1" t="s">
        <v>11</v>
      </c>
      <c r="G367" s="1" t="s">
        <v>10</v>
      </c>
    </row>
    <row r="368" spans="1:7" x14ac:dyDescent="0.3">
      <c r="A368" s="2">
        <v>45198</v>
      </c>
      <c r="B368" s="1">
        <v>60000</v>
      </c>
      <c r="C368" s="1" t="s">
        <v>14</v>
      </c>
      <c r="D368" s="1">
        <v>9123.7999999999993</v>
      </c>
      <c r="E368" s="1" t="s">
        <v>8</v>
      </c>
      <c r="F368" s="1" t="s">
        <v>11</v>
      </c>
      <c r="G368" s="1" t="s">
        <v>27</v>
      </c>
    </row>
    <row r="369" spans="1:7" x14ac:dyDescent="0.3">
      <c r="A369" s="2">
        <v>45284</v>
      </c>
      <c r="B369" s="1">
        <v>130000</v>
      </c>
      <c r="C369" s="1" t="s">
        <v>7</v>
      </c>
      <c r="D369" s="1">
        <v>1009.84</v>
      </c>
      <c r="E369" s="1" t="s">
        <v>8</v>
      </c>
      <c r="F369" s="1" t="s">
        <v>11</v>
      </c>
      <c r="G369" s="1" t="s">
        <v>10</v>
      </c>
    </row>
    <row r="370" spans="1:7" x14ac:dyDescent="0.3">
      <c r="A370" s="2">
        <v>45170</v>
      </c>
      <c r="B370" s="1">
        <v>30000</v>
      </c>
      <c r="C370" s="1" t="s">
        <v>14</v>
      </c>
      <c r="D370" s="1">
        <v>9729.26</v>
      </c>
      <c r="E370" s="1" t="s">
        <v>8</v>
      </c>
      <c r="F370" s="1" t="s">
        <v>9</v>
      </c>
      <c r="G370" s="1" t="s">
        <v>27</v>
      </c>
    </row>
    <row r="371" spans="1:7" x14ac:dyDescent="0.3">
      <c r="A371" s="2">
        <v>45140</v>
      </c>
      <c r="B371" s="1">
        <v>20000</v>
      </c>
      <c r="C371" s="1" t="s">
        <v>7</v>
      </c>
      <c r="D371" s="1">
        <v>4715.43</v>
      </c>
      <c r="E371" s="1" t="s">
        <v>8</v>
      </c>
      <c r="F371" s="1" t="s">
        <v>22</v>
      </c>
      <c r="G371" s="1" t="s">
        <v>21</v>
      </c>
    </row>
    <row r="372" spans="1:7" x14ac:dyDescent="0.3">
      <c r="A372" s="2">
        <v>44963</v>
      </c>
      <c r="B372" s="1">
        <v>100000</v>
      </c>
      <c r="C372" s="1" t="s">
        <v>14</v>
      </c>
      <c r="D372" s="1">
        <v>7640.77</v>
      </c>
      <c r="E372" s="1" t="s">
        <v>8</v>
      </c>
      <c r="F372" s="1" t="s">
        <v>11</v>
      </c>
      <c r="G372" s="1" t="s">
        <v>24</v>
      </c>
    </row>
    <row r="373" spans="1:7" x14ac:dyDescent="0.3">
      <c r="A373" s="2">
        <v>45224</v>
      </c>
      <c r="B373" s="1">
        <v>80000</v>
      </c>
      <c r="C373" s="1" t="s">
        <v>14</v>
      </c>
      <c r="D373" s="1">
        <v>7137.11</v>
      </c>
      <c r="E373" s="1" t="s">
        <v>8</v>
      </c>
      <c r="F373" s="1" t="s">
        <v>11</v>
      </c>
      <c r="G373" s="1" t="s">
        <v>28</v>
      </c>
    </row>
    <row r="374" spans="1:7" x14ac:dyDescent="0.3">
      <c r="A374" s="2">
        <v>45245</v>
      </c>
      <c r="B374" s="1">
        <v>40000</v>
      </c>
      <c r="C374" s="1" t="s">
        <v>7</v>
      </c>
      <c r="D374" s="1">
        <v>7682.1</v>
      </c>
      <c r="E374" s="1" t="s">
        <v>8</v>
      </c>
      <c r="F374" s="1" t="s">
        <v>9</v>
      </c>
      <c r="G374" s="1" t="s">
        <v>31</v>
      </c>
    </row>
    <row r="375" spans="1:7" x14ac:dyDescent="0.3">
      <c r="A375" s="2">
        <v>45035</v>
      </c>
      <c r="B375" s="1">
        <v>20000</v>
      </c>
      <c r="C375" s="1" t="s">
        <v>7</v>
      </c>
      <c r="D375" s="1">
        <v>7871.78</v>
      </c>
      <c r="E375" s="1" t="s">
        <v>15</v>
      </c>
      <c r="F375" s="1" t="s">
        <v>25</v>
      </c>
      <c r="G375" s="1" t="s">
        <v>30</v>
      </c>
    </row>
    <row r="376" spans="1:7" x14ac:dyDescent="0.3">
      <c r="A376" s="2">
        <v>45089</v>
      </c>
      <c r="B376" s="1">
        <v>80000</v>
      </c>
      <c r="C376" s="1" t="s">
        <v>14</v>
      </c>
      <c r="D376" s="1">
        <v>2084.4499999999998</v>
      </c>
      <c r="E376" s="1" t="s">
        <v>8</v>
      </c>
      <c r="F376" s="1" t="s">
        <v>22</v>
      </c>
      <c r="G376" s="1" t="s">
        <v>23</v>
      </c>
    </row>
    <row r="377" spans="1:7" x14ac:dyDescent="0.3">
      <c r="A377" s="2">
        <v>44942</v>
      </c>
      <c r="B377" s="1">
        <v>40000</v>
      </c>
      <c r="C377" s="1" t="s">
        <v>7</v>
      </c>
      <c r="D377" s="1">
        <v>8666.92</v>
      </c>
      <c r="E377" s="1" t="s">
        <v>8</v>
      </c>
      <c r="F377" s="1" t="s">
        <v>13</v>
      </c>
      <c r="G377" s="1" t="s">
        <v>19</v>
      </c>
    </row>
    <row r="378" spans="1:7" x14ac:dyDescent="0.3">
      <c r="A378" s="2">
        <v>45021</v>
      </c>
      <c r="B378" s="1">
        <v>20000</v>
      </c>
      <c r="C378" s="1" t="s">
        <v>7</v>
      </c>
      <c r="D378" s="1">
        <v>2413.16</v>
      </c>
      <c r="E378" s="1" t="s">
        <v>8</v>
      </c>
      <c r="F378" s="1" t="s">
        <v>13</v>
      </c>
      <c r="G378" s="1" t="s">
        <v>30</v>
      </c>
    </row>
    <row r="379" spans="1:7" x14ac:dyDescent="0.3">
      <c r="A379" s="2">
        <v>45038</v>
      </c>
      <c r="B379" s="1">
        <v>130000</v>
      </c>
      <c r="C379" s="1" t="s">
        <v>7</v>
      </c>
      <c r="D379" s="1">
        <v>1495.54</v>
      </c>
      <c r="E379" s="1" t="s">
        <v>15</v>
      </c>
      <c r="F379" s="1" t="s">
        <v>32</v>
      </c>
      <c r="G379" s="1" t="s">
        <v>30</v>
      </c>
    </row>
    <row r="380" spans="1:7" x14ac:dyDescent="0.3">
      <c r="A380" s="2">
        <v>45282</v>
      </c>
      <c r="B380" s="1">
        <v>30000</v>
      </c>
      <c r="C380" s="1" t="s">
        <v>14</v>
      </c>
      <c r="D380" s="1">
        <v>769.22</v>
      </c>
      <c r="E380" s="1" t="s">
        <v>8</v>
      </c>
      <c r="F380" s="1" t="s">
        <v>11</v>
      </c>
      <c r="G380" s="1" t="s">
        <v>10</v>
      </c>
    </row>
    <row r="381" spans="1:7" x14ac:dyDescent="0.3">
      <c r="A381" s="2">
        <v>45249</v>
      </c>
      <c r="B381" s="1">
        <v>60000</v>
      </c>
      <c r="C381" s="1" t="s">
        <v>14</v>
      </c>
      <c r="D381" s="1">
        <v>1862.8</v>
      </c>
      <c r="E381" s="1" t="s">
        <v>8</v>
      </c>
      <c r="F381" s="1" t="s">
        <v>22</v>
      </c>
      <c r="G381" s="1" t="s">
        <v>31</v>
      </c>
    </row>
    <row r="382" spans="1:7" x14ac:dyDescent="0.3">
      <c r="A382" s="2">
        <v>45284</v>
      </c>
      <c r="B382" s="1">
        <v>70000</v>
      </c>
      <c r="C382" s="1" t="s">
        <v>14</v>
      </c>
      <c r="D382" s="1">
        <v>1881.43</v>
      </c>
      <c r="E382" s="1" t="s">
        <v>8</v>
      </c>
      <c r="F382" s="1" t="s">
        <v>26</v>
      </c>
      <c r="G382" s="1" t="s">
        <v>10</v>
      </c>
    </row>
    <row r="383" spans="1:7" x14ac:dyDescent="0.3">
      <c r="A383" s="2">
        <v>45261</v>
      </c>
      <c r="B383" s="1">
        <v>30000</v>
      </c>
      <c r="C383" s="1" t="s">
        <v>14</v>
      </c>
      <c r="D383" s="1">
        <v>3012.08</v>
      </c>
      <c r="E383" s="1" t="s">
        <v>8</v>
      </c>
      <c r="F383" s="1" t="s">
        <v>22</v>
      </c>
      <c r="G383" s="1" t="s">
        <v>10</v>
      </c>
    </row>
    <row r="384" spans="1:7" x14ac:dyDescent="0.3">
      <c r="A384" s="2">
        <v>44987</v>
      </c>
      <c r="B384" s="1">
        <v>80000</v>
      </c>
      <c r="C384" s="1" t="s">
        <v>7</v>
      </c>
      <c r="D384" s="1">
        <v>8173.09</v>
      </c>
      <c r="E384" s="1" t="s">
        <v>8</v>
      </c>
      <c r="F384" s="1" t="s">
        <v>11</v>
      </c>
      <c r="G384" s="1" t="s">
        <v>12</v>
      </c>
    </row>
    <row r="385" spans="1:7" x14ac:dyDescent="0.3">
      <c r="A385" s="2">
        <v>44965</v>
      </c>
      <c r="B385" s="1">
        <v>40000</v>
      </c>
      <c r="C385" s="1" t="s">
        <v>7</v>
      </c>
      <c r="D385" s="1">
        <v>9720.52</v>
      </c>
      <c r="E385" s="1" t="s">
        <v>15</v>
      </c>
      <c r="F385" s="1" t="s">
        <v>18</v>
      </c>
      <c r="G385" s="1" t="s">
        <v>24</v>
      </c>
    </row>
    <row r="386" spans="1:7" x14ac:dyDescent="0.3">
      <c r="A386" s="2">
        <v>45240</v>
      </c>
      <c r="B386" s="1">
        <v>10000</v>
      </c>
      <c r="C386" s="1" t="s">
        <v>14</v>
      </c>
      <c r="D386" s="1">
        <v>5971.42</v>
      </c>
      <c r="E386" s="1" t="s">
        <v>8</v>
      </c>
      <c r="F386" s="1" t="s">
        <v>26</v>
      </c>
      <c r="G386" s="1" t="s">
        <v>31</v>
      </c>
    </row>
    <row r="387" spans="1:7" x14ac:dyDescent="0.3">
      <c r="A387" s="2">
        <v>45047</v>
      </c>
      <c r="B387" s="1">
        <v>30000</v>
      </c>
      <c r="C387" s="1" t="s">
        <v>7</v>
      </c>
      <c r="D387" s="1">
        <v>1225.1600000000001</v>
      </c>
      <c r="E387" s="1" t="s">
        <v>15</v>
      </c>
      <c r="F387" s="1" t="s">
        <v>18</v>
      </c>
      <c r="G387" s="1" t="s">
        <v>17</v>
      </c>
    </row>
    <row r="388" spans="1:7" x14ac:dyDescent="0.3">
      <c r="A388" s="2">
        <v>45266</v>
      </c>
      <c r="B388" s="1">
        <v>120000</v>
      </c>
      <c r="C388" s="1" t="s">
        <v>14</v>
      </c>
      <c r="D388" s="1">
        <v>5246.72</v>
      </c>
      <c r="E388" s="1" t="s">
        <v>15</v>
      </c>
      <c r="F388" s="1" t="s">
        <v>18</v>
      </c>
      <c r="G388" s="1" t="s">
        <v>10</v>
      </c>
    </row>
    <row r="389" spans="1:7" x14ac:dyDescent="0.3">
      <c r="A389" s="2">
        <v>44962</v>
      </c>
      <c r="B389" s="1">
        <v>20000</v>
      </c>
      <c r="C389" s="1" t="s">
        <v>7</v>
      </c>
      <c r="D389" s="1">
        <v>2704.22</v>
      </c>
      <c r="E389" s="1" t="s">
        <v>8</v>
      </c>
      <c r="F389" s="1" t="s">
        <v>11</v>
      </c>
      <c r="G389" s="1" t="s">
        <v>24</v>
      </c>
    </row>
    <row r="390" spans="1:7" x14ac:dyDescent="0.3">
      <c r="A390" s="2">
        <v>44944</v>
      </c>
      <c r="B390" s="1">
        <v>30000</v>
      </c>
      <c r="C390" s="1" t="s">
        <v>7</v>
      </c>
      <c r="D390" s="1">
        <v>2226.1</v>
      </c>
      <c r="E390" s="1" t="s">
        <v>8</v>
      </c>
      <c r="F390" s="1" t="s">
        <v>11</v>
      </c>
      <c r="G390" s="1" t="s">
        <v>19</v>
      </c>
    </row>
    <row r="391" spans="1:7" x14ac:dyDescent="0.3">
      <c r="A391" s="2">
        <v>45033</v>
      </c>
      <c r="B391" s="1">
        <v>80000</v>
      </c>
      <c r="C391" s="1" t="s">
        <v>14</v>
      </c>
      <c r="D391" s="1">
        <v>3213.25</v>
      </c>
      <c r="E391" s="1" t="s">
        <v>15</v>
      </c>
      <c r="F391" s="1" t="s">
        <v>32</v>
      </c>
      <c r="G391" s="1" t="s">
        <v>30</v>
      </c>
    </row>
    <row r="392" spans="1:7" x14ac:dyDescent="0.3">
      <c r="A392" s="2">
        <v>45225</v>
      </c>
      <c r="B392" s="1">
        <v>70000</v>
      </c>
      <c r="C392" s="1" t="s">
        <v>14</v>
      </c>
      <c r="D392" s="1">
        <v>6481.97</v>
      </c>
      <c r="E392" s="1" t="s">
        <v>15</v>
      </c>
      <c r="F392" s="1" t="s">
        <v>18</v>
      </c>
      <c r="G392" s="1" t="s">
        <v>28</v>
      </c>
    </row>
    <row r="393" spans="1:7" x14ac:dyDescent="0.3">
      <c r="A393" s="2">
        <v>44988</v>
      </c>
      <c r="B393" s="1">
        <v>70000</v>
      </c>
      <c r="C393" s="1" t="s">
        <v>14</v>
      </c>
      <c r="D393" s="1">
        <v>4910.38</v>
      </c>
      <c r="E393" s="1" t="s">
        <v>15</v>
      </c>
      <c r="F393" s="1" t="s">
        <v>25</v>
      </c>
      <c r="G393" s="1" t="s">
        <v>12</v>
      </c>
    </row>
    <row r="394" spans="1:7" x14ac:dyDescent="0.3">
      <c r="A394" s="2">
        <v>45288</v>
      </c>
      <c r="B394" s="1">
        <v>20000</v>
      </c>
      <c r="C394" s="1" t="s">
        <v>7</v>
      </c>
      <c r="D394" s="1">
        <v>8166.61</v>
      </c>
      <c r="E394" s="1" t="s">
        <v>15</v>
      </c>
      <c r="F394" s="1" t="s">
        <v>25</v>
      </c>
      <c r="G394" s="1" t="s">
        <v>10</v>
      </c>
    </row>
    <row r="395" spans="1:7" x14ac:dyDescent="0.3">
      <c r="A395" s="2">
        <v>45173</v>
      </c>
      <c r="B395" s="1">
        <v>10000</v>
      </c>
      <c r="C395" s="1" t="s">
        <v>7</v>
      </c>
      <c r="D395" s="1">
        <v>2300.9699999999998</v>
      </c>
      <c r="E395" s="1" t="s">
        <v>8</v>
      </c>
      <c r="F395" s="1" t="s">
        <v>22</v>
      </c>
      <c r="G395" s="1" t="s">
        <v>27</v>
      </c>
    </row>
    <row r="396" spans="1:7" x14ac:dyDescent="0.3">
      <c r="A396" s="2">
        <v>45134</v>
      </c>
      <c r="B396" s="1">
        <v>40000</v>
      </c>
      <c r="C396" s="1" t="s">
        <v>7</v>
      </c>
      <c r="D396" s="1">
        <v>7144.33</v>
      </c>
      <c r="E396" s="1" t="s">
        <v>8</v>
      </c>
      <c r="F396" s="1" t="s">
        <v>9</v>
      </c>
      <c r="G396" s="1" t="s">
        <v>29</v>
      </c>
    </row>
    <row r="397" spans="1:7" x14ac:dyDescent="0.3">
      <c r="A397" s="2">
        <v>44934</v>
      </c>
      <c r="B397" s="1">
        <v>30000</v>
      </c>
      <c r="C397" s="1" t="s">
        <v>7</v>
      </c>
      <c r="D397" s="1">
        <v>5737.17</v>
      </c>
      <c r="E397" s="1" t="s">
        <v>8</v>
      </c>
      <c r="F397" s="1" t="s">
        <v>9</v>
      </c>
      <c r="G397" s="1" t="s">
        <v>19</v>
      </c>
    </row>
    <row r="398" spans="1:7" x14ac:dyDescent="0.3">
      <c r="A398" s="2">
        <v>45247</v>
      </c>
      <c r="B398" s="1">
        <v>60000</v>
      </c>
      <c r="C398" s="1" t="s">
        <v>14</v>
      </c>
      <c r="D398" s="1">
        <v>9681.86</v>
      </c>
      <c r="E398" s="1" t="s">
        <v>8</v>
      </c>
      <c r="F398" s="1" t="s">
        <v>26</v>
      </c>
      <c r="G398" s="1" t="s">
        <v>31</v>
      </c>
    </row>
    <row r="399" spans="1:7" x14ac:dyDescent="0.3">
      <c r="A399" s="2">
        <v>45154</v>
      </c>
      <c r="B399" s="1">
        <v>10000</v>
      </c>
      <c r="C399" s="1" t="s">
        <v>14</v>
      </c>
      <c r="D399" s="1">
        <v>423.55</v>
      </c>
      <c r="E399" s="1" t="s">
        <v>8</v>
      </c>
      <c r="F399" s="1" t="s">
        <v>13</v>
      </c>
      <c r="G399" s="1" t="s">
        <v>21</v>
      </c>
    </row>
    <row r="400" spans="1:7" x14ac:dyDescent="0.3">
      <c r="A400" s="2">
        <v>45124</v>
      </c>
      <c r="B400" s="1">
        <v>30000</v>
      </c>
      <c r="C400" s="1" t="s">
        <v>7</v>
      </c>
      <c r="D400" s="1">
        <v>4265.3900000000003</v>
      </c>
      <c r="E400" s="1" t="s">
        <v>8</v>
      </c>
      <c r="F400" s="1" t="s">
        <v>26</v>
      </c>
      <c r="G400" s="1" t="s">
        <v>29</v>
      </c>
    </row>
    <row r="401" spans="1:7" x14ac:dyDescent="0.3">
      <c r="A401" s="2">
        <v>45140</v>
      </c>
      <c r="B401" s="1">
        <v>40000</v>
      </c>
      <c r="C401" s="1" t="s">
        <v>14</v>
      </c>
      <c r="D401" s="1">
        <v>9659.2099999999991</v>
      </c>
      <c r="E401" s="1" t="s">
        <v>8</v>
      </c>
      <c r="F401" s="1" t="s">
        <v>11</v>
      </c>
      <c r="G401" s="1" t="s">
        <v>21</v>
      </c>
    </row>
    <row r="402" spans="1:7" x14ac:dyDescent="0.3">
      <c r="A402" s="2">
        <v>45168</v>
      </c>
      <c r="B402" s="1">
        <v>110000</v>
      </c>
      <c r="C402" s="1" t="s">
        <v>7</v>
      </c>
      <c r="D402" s="1">
        <v>3355.82</v>
      </c>
      <c r="E402" s="1" t="s">
        <v>8</v>
      </c>
      <c r="F402" s="1" t="s">
        <v>9</v>
      </c>
      <c r="G402" s="1" t="s">
        <v>21</v>
      </c>
    </row>
    <row r="403" spans="1:7" x14ac:dyDescent="0.3">
      <c r="A403" s="2">
        <v>45156</v>
      </c>
      <c r="B403" s="1">
        <v>40000</v>
      </c>
      <c r="C403" s="1" t="s">
        <v>7</v>
      </c>
      <c r="D403" s="1">
        <v>2960</v>
      </c>
      <c r="E403" s="1" t="s">
        <v>8</v>
      </c>
      <c r="F403" s="1" t="s">
        <v>13</v>
      </c>
      <c r="G403" s="1" t="s">
        <v>21</v>
      </c>
    </row>
    <row r="404" spans="1:7" x14ac:dyDescent="0.3">
      <c r="A404" s="2">
        <v>45212</v>
      </c>
      <c r="B404" s="1">
        <v>10000</v>
      </c>
      <c r="C404" s="1" t="s">
        <v>7</v>
      </c>
      <c r="D404" s="1">
        <v>7744.13</v>
      </c>
      <c r="E404" s="1" t="s">
        <v>8</v>
      </c>
      <c r="F404" s="1" t="s">
        <v>26</v>
      </c>
      <c r="G404" s="1" t="s">
        <v>28</v>
      </c>
    </row>
    <row r="405" spans="1:7" x14ac:dyDescent="0.3">
      <c r="A405" s="2">
        <v>44938</v>
      </c>
      <c r="B405" s="1">
        <v>20000</v>
      </c>
      <c r="C405" s="1" t="s">
        <v>7</v>
      </c>
      <c r="D405" s="1">
        <v>824.02</v>
      </c>
      <c r="E405" s="1" t="s">
        <v>8</v>
      </c>
      <c r="F405" s="1" t="s">
        <v>11</v>
      </c>
      <c r="G405" s="1" t="s">
        <v>19</v>
      </c>
    </row>
    <row r="406" spans="1:7" x14ac:dyDescent="0.3">
      <c r="A406" s="2">
        <v>44944</v>
      </c>
      <c r="B406" s="1">
        <v>30000</v>
      </c>
      <c r="C406" s="1" t="s">
        <v>14</v>
      </c>
      <c r="D406" s="1">
        <v>3939.5</v>
      </c>
      <c r="E406" s="1" t="s">
        <v>8</v>
      </c>
      <c r="F406" s="1" t="s">
        <v>26</v>
      </c>
      <c r="G406" s="1" t="s">
        <v>19</v>
      </c>
    </row>
    <row r="407" spans="1:7" x14ac:dyDescent="0.3">
      <c r="A407" s="2">
        <v>45287</v>
      </c>
      <c r="B407" s="1">
        <v>30000</v>
      </c>
      <c r="C407" s="1" t="s">
        <v>7</v>
      </c>
      <c r="D407" s="1">
        <v>2443.64</v>
      </c>
      <c r="E407" s="1" t="s">
        <v>8</v>
      </c>
      <c r="F407" s="1" t="s">
        <v>22</v>
      </c>
      <c r="G407" s="1" t="s">
        <v>10</v>
      </c>
    </row>
    <row r="408" spans="1:7" x14ac:dyDescent="0.3">
      <c r="A408" s="2">
        <v>45266</v>
      </c>
      <c r="B408" s="1">
        <v>40000</v>
      </c>
      <c r="C408" s="1" t="s">
        <v>7</v>
      </c>
      <c r="D408" s="1">
        <v>6001.92</v>
      </c>
      <c r="E408" s="1" t="s">
        <v>8</v>
      </c>
      <c r="F408" s="1" t="s">
        <v>13</v>
      </c>
      <c r="G408" s="1" t="s">
        <v>10</v>
      </c>
    </row>
    <row r="409" spans="1:7" x14ac:dyDescent="0.3">
      <c r="A409" s="2">
        <v>45276</v>
      </c>
      <c r="B409" s="1">
        <v>90000</v>
      </c>
      <c r="C409" s="1" t="s">
        <v>14</v>
      </c>
      <c r="D409" s="1">
        <v>1947.2</v>
      </c>
      <c r="E409" s="1" t="s">
        <v>15</v>
      </c>
      <c r="F409" s="1" t="s">
        <v>32</v>
      </c>
      <c r="G409" s="1" t="s">
        <v>10</v>
      </c>
    </row>
    <row r="410" spans="1:7" x14ac:dyDescent="0.3">
      <c r="A410" s="2">
        <v>45029</v>
      </c>
      <c r="B410" s="1">
        <v>40000</v>
      </c>
      <c r="C410" s="1" t="s">
        <v>7</v>
      </c>
      <c r="D410" s="1">
        <v>928.08</v>
      </c>
      <c r="E410" s="1" t="s">
        <v>15</v>
      </c>
      <c r="F410" s="1" t="s">
        <v>16</v>
      </c>
      <c r="G410" s="1" t="s">
        <v>30</v>
      </c>
    </row>
    <row r="411" spans="1:7" x14ac:dyDescent="0.3">
      <c r="A411" s="2">
        <v>44969</v>
      </c>
      <c r="B411" s="1">
        <v>130000</v>
      </c>
      <c r="C411" s="1" t="s">
        <v>7</v>
      </c>
      <c r="D411" s="1">
        <v>6091.19</v>
      </c>
      <c r="E411" s="1" t="s">
        <v>8</v>
      </c>
      <c r="F411" s="1" t="s">
        <v>9</v>
      </c>
      <c r="G411" s="1" t="s">
        <v>24</v>
      </c>
    </row>
    <row r="412" spans="1:7" x14ac:dyDescent="0.3">
      <c r="A412" s="2">
        <v>45079</v>
      </c>
      <c r="B412" s="1">
        <v>20000</v>
      </c>
      <c r="C412" s="1" t="s">
        <v>7</v>
      </c>
      <c r="D412" s="1">
        <v>5592.43</v>
      </c>
      <c r="E412" s="1" t="s">
        <v>15</v>
      </c>
      <c r="F412" s="1" t="s">
        <v>32</v>
      </c>
      <c r="G412" s="1" t="s">
        <v>23</v>
      </c>
    </row>
    <row r="413" spans="1:7" x14ac:dyDescent="0.3">
      <c r="A413" s="2">
        <v>45054</v>
      </c>
      <c r="B413" s="1">
        <v>70000</v>
      </c>
      <c r="C413" s="1" t="s">
        <v>14</v>
      </c>
      <c r="D413" s="1">
        <v>5562.31</v>
      </c>
      <c r="E413" s="1" t="s">
        <v>8</v>
      </c>
      <c r="F413" s="1" t="s">
        <v>9</v>
      </c>
      <c r="G413" s="1" t="s">
        <v>17</v>
      </c>
    </row>
    <row r="414" spans="1:7" x14ac:dyDescent="0.3">
      <c r="A414" s="2">
        <v>45058</v>
      </c>
      <c r="B414" s="1">
        <v>40000</v>
      </c>
      <c r="C414" s="1" t="s">
        <v>7</v>
      </c>
      <c r="D414" s="1">
        <v>7929.95</v>
      </c>
      <c r="E414" s="1" t="s">
        <v>15</v>
      </c>
      <c r="F414" s="1" t="s">
        <v>32</v>
      </c>
      <c r="G414" s="1" t="s">
        <v>17</v>
      </c>
    </row>
    <row r="415" spans="1:7" x14ac:dyDescent="0.3">
      <c r="A415" s="2">
        <v>44971</v>
      </c>
      <c r="B415" s="1">
        <v>30000</v>
      </c>
      <c r="C415" s="1" t="s">
        <v>14</v>
      </c>
      <c r="D415" s="1">
        <v>1599.78</v>
      </c>
      <c r="E415" s="1" t="s">
        <v>15</v>
      </c>
      <c r="F415" s="1" t="s">
        <v>32</v>
      </c>
      <c r="G415" s="1" t="s">
        <v>24</v>
      </c>
    </row>
    <row r="416" spans="1:7" x14ac:dyDescent="0.3">
      <c r="A416" s="2">
        <v>45135</v>
      </c>
      <c r="B416" s="1">
        <v>40000</v>
      </c>
      <c r="C416" s="1" t="s">
        <v>7</v>
      </c>
      <c r="D416" s="1">
        <v>7797.19</v>
      </c>
      <c r="E416" s="1" t="s">
        <v>15</v>
      </c>
      <c r="F416" s="1" t="s">
        <v>32</v>
      </c>
      <c r="G416" s="1" t="s">
        <v>29</v>
      </c>
    </row>
    <row r="417" spans="1:7" x14ac:dyDescent="0.3">
      <c r="A417" s="2">
        <v>45089</v>
      </c>
      <c r="B417" s="1">
        <v>80000</v>
      </c>
      <c r="C417" s="1" t="s">
        <v>14</v>
      </c>
      <c r="D417" s="1">
        <v>692.77</v>
      </c>
      <c r="E417" s="1" t="s">
        <v>8</v>
      </c>
      <c r="F417" s="1" t="s">
        <v>13</v>
      </c>
      <c r="G417" s="1" t="s">
        <v>23</v>
      </c>
    </row>
    <row r="418" spans="1:7" x14ac:dyDescent="0.3">
      <c r="A418" s="2">
        <v>45280</v>
      </c>
      <c r="B418" s="1">
        <v>60000</v>
      </c>
      <c r="C418" s="1" t="s">
        <v>14</v>
      </c>
      <c r="D418" s="1">
        <v>5031.09</v>
      </c>
      <c r="E418" s="1" t="s">
        <v>8</v>
      </c>
      <c r="F418" s="1" t="s">
        <v>22</v>
      </c>
      <c r="G418" s="1" t="s">
        <v>10</v>
      </c>
    </row>
    <row r="419" spans="1:7" x14ac:dyDescent="0.3">
      <c r="A419" s="2">
        <v>45018</v>
      </c>
      <c r="B419" s="1">
        <v>30000</v>
      </c>
      <c r="C419" s="1" t="s">
        <v>14</v>
      </c>
      <c r="D419" s="1">
        <v>9669.3700000000008</v>
      </c>
      <c r="E419" s="1" t="s">
        <v>15</v>
      </c>
      <c r="F419" s="1" t="s">
        <v>20</v>
      </c>
      <c r="G419" s="1" t="s">
        <v>30</v>
      </c>
    </row>
    <row r="420" spans="1:7" x14ac:dyDescent="0.3">
      <c r="A420" s="2">
        <v>45291</v>
      </c>
      <c r="B420" s="1">
        <v>30000</v>
      </c>
      <c r="C420" s="1" t="s">
        <v>7</v>
      </c>
      <c r="D420" s="1">
        <v>3558.84</v>
      </c>
      <c r="E420" s="1" t="s">
        <v>15</v>
      </c>
      <c r="F420" s="1" t="s">
        <v>16</v>
      </c>
      <c r="G420" s="1" t="s">
        <v>10</v>
      </c>
    </row>
    <row r="421" spans="1:7" x14ac:dyDescent="0.3">
      <c r="A421" s="2">
        <v>45088</v>
      </c>
      <c r="B421" s="1">
        <v>10000</v>
      </c>
      <c r="C421" s="1" t="s">
        <v>7</v>
      </c>
      <c r="D421" s="1">
        <v>1134.8499999999999</v>
      </c>
      <c r="E421" s="1" t="s">
        <v>8</v>
      </c>
      <c r="F421" s="1" t="s">
        <v>13</v>
      </c>
      <c r="G421" s="1" t="s">
        <v>23</v>
      </c>
    </row>
    <row r="422" spans="1:7" x14ac:dyDescent="0.3">
      <c r="A422" s="2">
        <v>45077</v>
      </c>
      <c r="B422" s="1">
        <v>100000</v>
      </c>
      <c r="C422" s="1" t="s">
        <v>7</v>
      </c>
      <c r="D422" s="1">
        <v>2482.15</v>
      </c>
      <c r="E422" s="1" t="s">
        <v>8</v>
      </c>
      <c r="F422" s="1" t="s">
        <v>26</v>
      </c>
      <c r="G422" s="1" t="s">
        <v>17</v>
      </c>
    </row>
    <row r="423" spans="1:7" x14ac:dyDescent="0.3">
      <c r="A423" s="2">
        <v>44953</v>
      </c>
      <c r="B423" s="1">
        <v>10000</v>
      </c>
      <c r="C423" s="1" t="s">
        <v>7</v>
      </c>
      <c r="D423" s="1">
        <v>1783.77</v>
      </c>
      <c r="E423" s="1" t="s">
        <v>15</v>
      </c>
      <c r="F423" s="1" t="s">
        <v>18</v>
      </c>
      <c r="G423" s="1" t="s">
        <v>19</v>
      </c>
    </row>
    <row r="424" spans="1:7" x14ac:dyDescent="0.3">
      <c r="A424" s="2">
        <v>45085</v>
      </c>
      <c r="B424" s="1">
        <v>110000</v>
      </c>
      <c r="C424" s="1" t="s">
        <v>14</v>
      </c>
      <c r="D424" s="1">
        <v>9357.7999999999993</v>
      </c>
      <c r="E424" s="1" t="s">
        <v>15</v>
      </c>
      <c r="F424" s="1" t="s">
        <v>25</v>
      </c>
      <c r="G424" s="1" t="s">
        <v>23</v>
      </c>
    </row>
    <row r="425" spans="1:7" x14ac:dyDescent="0.3">
      <c r="A425" s="2">
        <v>45059</v>
      </c>
      <c r="B425" s="1">
        <v>30000</v>
      </c>
      <c r="C425" s="1" t="s">
        <v>7</v>
      </c>
      <c r="D425" s="1">
        <v>6778.95</v>
      </c>
      <c r="E425" s="1" t="s">
        <v>15</v>
      </c>
      <c r="F425" s="1" t="s">
        <v>18</v>
      </c>
      <c r="G425" s="1" t="s">
        <v>17</v>
      </c>
    </row>
    <row r="426" spans="1:7" x14ac:dyDescent="0.3">
      <c r="A426" s="2">
        <v>45062</v>
      </c>
      <c r="B426" s="1">
        <v>10000</v>
      </c>
      <c r="C426" s="1" t="s">
        <v>7</v>
      </c>
      <c r="D426" s="1">
        <v>7600.8</v>
      </c>
      <c r="E426" s="1" t="s">
        <v>8</v>
      </c>
      <c r="F426" s="1" t="s">
        <v>9</v>
      </c>
      <c r="G426" s="1" t="s">
        <v>17</v>
      </c>
    </row>
    <row r="427" spans="1:7" x14ac:dyDescent="0.3">
      <c r="A427" s="2">
        <v>44959</v>
      </c>
      <c r="B427" s="1">
        <v>40000</v>
      </c>
      <c r="C427" s="1" t="s">
        <v>14</v>
      </c>
      <c r="D427" s="1">
        <v>5764.75</v>
      </c>
      <c r="E427" s="1" t="s">
        <v>8</v>
      </c>
      <c r="F427" s="1" t="s">
        <v>13</v>
      </c>
      <c r="G427" s="1" t="s">
        <v>24</v>
      </c>
    </row>
    <row r="428" spans="1:7" x14ac:dyDescent="0.3">
      <c r="A428" s="2">
        <v>44964</v>
      </c>
      <c r="B428" s="1">
        <v>30000</v>
      </c>
      <c r="C428" s="1" t="s">
        <v>7</v>
      </c>
      <c r="D428" s="1">
        <v>8750.82</v>
      </c>
      <c r="E428" s="1" t="s">
        <v>15</v>
      </c>
      <c r="F428" s="1" t="s">
        <v>25</v>
      </c>
      <c r="G428" s="1" t="s">
        <v>24</v>
      </c>
    </row>
    <row r="429" spans="1:7" x14ac:dyDescent="0.3">
      <c r="A429" s="2">
        <v>45004</v>
      </c>
      <c r="B429" s="1">
        <v>90000</v>
      </c>
      <c r="C429" s="1" t="s">
        <v>14</v>
      </c>
      <c r="D429" s="1">
        <v>2047.42</v>
      </c>
      <c r="E429" s="1" t="s">
        <v>8</v>
      </c>
      <c r="F429" s="1" t="s">
        <v>13</v>
      </c>
      <c r="G429" s="1" t="s">
        <v>12</v>
      </c>
    </row>
    <row r="430" spans="1:7" x14ac:dyDescent="0.3">
      <c r="A430" s="2">
        <v>45043</v>
      </c>
      <c r="B430" s="1">
        <v>110000</v>
      </c>
      <c r="C430" s="1" t="s">
        <v>14</v>
      </c>
      <c r="D430" s="1">
        <v>7928.72</v>
      </c>
      <c r="E430" s="1" t="s">
        <v>15</v>
      </c>
      <c r="F430" s="1" t="s">
        <v>18</v>
      </c>
      <c r="G430" s="1" t="s">
        <v>30</v>
      </c>
    </row>
    <row r="431" spans="1:7" x14ac:dyDescent="0.3">
      <c r="A431" s="2">
        <v>45052</v>
      </c>
      <c r="B431" s="1">
        <v>30000</v>
      </c>
      <c r="C431" s="1" t="s">
        <v>7</v>
      </c>
      <c r="D431" s="1">
        <v>3961.46</v>
      </c>
      <c r="E431" s="1" t="s">
        <v>8</v>
      </c>
      <c r="F431" s="1" t="s">
        <v>13</v>
      </c>
      <c r="G431" s="1" t="s">
        <v>17</v>
      </c>
    </row>
    <row r="432" spans="1:7" x14ac:dyDescent="0.3">
      <c r="A432" s="2">
        <v>45269</v>
      </c>
      <c r="B432" s="1">
        <v>30000</v>
      </c>
      <c r="C432" s="1" t="s">
        <v>14</v>
      </c>
      <c r="D432" s="1">
        <v>4905.74</v>
      </c>
      <c r="E432" s="1" t="s">
        <v>15</v>
      </c>
      <c r="F432" s="1" t="s">
        <v>16</v>
      </c>
      <c r="G432" s="1" t="s">
        <v>10</v>
      </c>
    </row>
    <row r="433" spans="1:7" x14ac:dyDescent="0.3">
      <c r="A433" s="2">
        <v>45218</v>
      </c>
      <c r="B433" s="1">
        <v>20000</v>
      </c>
      <c r="C433" s="1" t="s">
        <v>14</v>
      </c>
      <c r="D433" s="1">
        <v>7568.59</v>
      </c>
      <c r="E433" s="1" t="s">
        <v>8</v>
      </c>
      <c r="F433" s="1" t="s">
        <v>22</v>
      </c>
      <c r="G433" s="1" t="s">
        <v>28</v>
      </c>
    </row>
    <row r="434" spans="1:7" x14ac:dyDescent="0.3">
      <c r="A434" s="2">
        <v>45178</v>
      </c>
      <c r="B434" s="1">
        <v>110000</v>
      </c>
      <c r="C434" s="1" t="s">
        <v>14</v>
      </c>
      <c r="D434" s="1">
        <v>4502.8500000000004</v>
      </c>
      <c r="E434" s="1" t="s">
        <v>15</v>
      </c>
      <c r="F434" s="1" t="s">
        <v>20</v>
      </c>
      <c r="G434" s="1" t="s">
        <v>27</v>
      </c>
    </row>
    <row r="435" spans="1:7" x14ac:dyDescent="0.3">
      <c r="A435" s="2">
        <v>45188</v>
      </c>
      <c r="B435" s="1">
        <v>30000</v>
      </c>
      <c r="C435" s="1" t="s">
        <v>7</v>
      </c>
      <c r="D435" s="1">
        <v>5244.49</v>
      </c>
      <c r="E435" s="1" t="s">
        <v>15</v>
      </c>
      <c r="F435" s="1" t="s">
        <v>32</v>
      </c>
      <c r="G435" s="1" t="s">
        <v>27</v>
      </c>
    </row>
    <row r="436" spans="1:7" x14ac:dyDescent="0.3">
      <c r="A436" s="2">
        <v>45119</v>
      </c>
      <c r="B436" s="1">
        <v>30000</v>
      </c>
      <c r="C436" s="1" t="s">
        <v>14</v>
      </c>
      <c r="D436" s="1">
        <v>5185.13</v>
      </c>
      <c r="E436" s="1" t="s">
        <v>8</v>
      </c>
      <c r="F436" s="1" t="s">
        <v>9</v>
      </c>
      <c r="G436" s="1" t="s">
        <v>29</v>
      </c>
    </row>
    <row r="437" spans="1:7" x14ac:dyDescent="0.3">
      <c r="A437" s="2">
        <v>44948</v>
      </c>
      <c r="B437" s="1">
        <v>10000</v>
      </c>
      <c r="C437" s="1" t="s">
        <v>7</v>
      </c>
      <c r="D437" s="1">
        <v>8961.09</v>
      </c>
      <c r="E437" s="1" t="s">
        <v>15</v>
      </c>
      <c r="F437" s="1" t="s">
        <v>18</v>
      </c>
      <c r="G437" s="1" t="s">
        <v>19</v>
      </c>
    </row>
    <row r="438" spans="1:7" x14ac:dyDescent="0.3">
      <c r="A438" s="2">
        <v>44961</v>
      </c>
      <c r="B438" s="1">
        <v>80000</v>
      </c>
      <c r="C438" s="1" t="s">
        <v>14</v>
      </c>
      <c r="D438" s="1">
        <v>5433.06</v>
      </c>
      <c r="E438" s="1" t="s">
        <v>15</v>
      </c>
      <c r="F438" s="1" t="s">
        <v>20</v>
      </c>
      <c r="G438" s="1" t="s">
        <v>24</v>
      </c>
    </row>
    <row r="439" spans="1:7" x14ac:dyDescent="0.3">
      <c r="A439" s="2">
        <v>45274</v>
      </c>
      <c r="B439" s="1">
        <v>30000</v>
      </c>
      <c r="C439" s="1" t="s">
        <v>7</v>
      </c>
      <c r="D439" s="1">
        <v>287.54000000000002</v>
      </c>
      <c r="E439" s="1" t="s">
        <v>8</v>
      </c>
      <c r="F439" s="1" t="s">
        <v>13</v>
      </c>
      <c r="G439" s="1" t="s">
        <v>10</v>
      </c>
    </row>
    <row r="440" spans="1:7" x14ac:dyDescent="0.3">
      <c r="A440" s="2">
        <v>45155</v>
      </c>
      <c r="B440" s="1">
        <v>80000</v>
      </c>
      <c r="C440" s="1" t="s">
        <v>7</v>
      </c>
      <c r="D440" s="1">
        <v>4504.41</v>
      </c>
      <c r="E440" s="1" t="s">
        <v>15</v>
      </c>
      <c r="F440" s="1" t="s">
        <v>20</v>
      </c>
      <c r="G440" s="1" t="s">
        <v>21</v>
      </c>
    </row>
    <row r="441" spans="1:7" x14ac:dyDescent="0.3">
      <c r="A441" s="2">
        <v>45197</v>
      </c>
      <c r="B441" s="1">
        <v>70000</v>
      </c>
      <c r="C441" s="1" t="s">
        <v>14</v>
      </c>
      <c r="D441" s="1">
        <v>9272.34</v>
      </c>
      <c r="E441" s="1" t="s">
        <v>8</v>
      </c>
      <c r="F441" s="1" t="s">
        <v>22</v>
      </c>
      <c r="G441" s="1" t="s">
        <v>27</v>
      </c>
    </row>
    <row r="442" spans="1:7" x14ac:dyDescent="0.3">
      <c r="A442" s="2">
        <v>45071</v>
      </c>
      <c r="B442" s="1">
        <v>90000</v>
      </c>
      <c r="C442" s="1" t="s">
        <v>14</v>
      </c>
      <c r="D442" s="1">
        <v>8766.7999999999993</v>
      </c>
      <c r="E442" s="1" t="s">
        <v>8</v>
      </c>
      <c r="F442" s="1" t="s">
        <v>26</v>
      </c>
      <c r="G442" s="1" t="s">
        <v>17</v>
      </c>
    </row>
    <row r="443" spans="1:7" x14ac:dyDescent="0.3">
      <c r="A443" s="2">
        <v>45150</v>
      </c>
      <c r="B443" s="1">
        <v>70000</v>
      </c>
      <c r="C443" s="1" t="s">
        <v>14</v>
      </c>
      <c r="D443" s="1">
        <v>9403.4500000000007</v>
      </c>
      <c r="E443" s="1" t="s">
        <v>8</v>
      </c>
      <c r="F443" s="1" t="s">
        <v>11</v>
      </c>
      <c r="G443" s="1" t="s">
        <v>21</v>
      </c>
    </row>
    <row r="444" spans="1:7" x14ac:dyDescent="0.3">
      <c r="A444" s="2">
        <v>45149</v>
      </c>
      <c r="B444" s="1">
        <v>80000</v>
      </c>
      <c r="C444" s="1" t="s">
        <v>14</v>
      </c>
      <c r="D444" s="1">
        <v>7298.46</v>
      </c>
      <c r="E444" s="1" t="s">
        <v>8</v>
      </c>
      <c r="F444" s="1" t="s">
        <v>13</v>
      </c>
      <c r="G444" s="1" t="s">
        <v>21</v>
      </c>
    </row>
    <row r="445" spans="1:7" x14ac:dyDescent="0.3">
      <c r="A445" s="2">
        <v>45266</v>
      </c>
      <c r="B445" s="1">
        <v>40000</v>
      </c>
      <c r="C445" s="1" t="s">
        <v>7</v>
      </c>
      <c r="D445" s="1">
        <v>616.41999999999996</v>
      </c>
      <c r="E445" s="1" t="s">
        <v>8</v>
      </c>
      <c r="F445" s="1" t="s">
        <v>13</v>
      </c>
      <c r="G445" s="1" t="s">
        <v>10</v>
      </c>
    </row>
    <row r="446" spans="1:7" x14ac:dyDescent="0.3">
      <c r="A446" s="2">
        <v>45002</v>
      </c>
      <c r="B446" s="1">
        <v>30000</v>
      </c>
      <c r="C446" s="1" t="s">
        <v>7</v>
      </c>
      <c r="D446" s="1">
        <v>5879.07</v>
      </c>
      <c r="E446" s="1" t="s">
        <v>8</v>
      </c>
      <c r="F446" s="1" t="s">
        <v>26</v>
      </c>
      <c r="G446" s="1" t="s">
        <v>12</v>
      </c>
    </row>
    <row r="447" spans="1:7" x14ac:dyDescent="0.3">
      <c r="A447" s="2">
        <v>45059</v>
      </c>
      <c r="B447" s="1">
        <v>40000</v>
      </c>
      <c r="C447" s="1" t="s">
        <v>7</v>
      </c>
      <c r="D447" s="1">
        <v>9902.57</v>
      </c>
      <c r="E447" s="1" t="s">
        <v>8</v>
      </c>
      <c r="F447" s="1" t="s">
        <v>22</v>
      </c>
      <c r="G447" s="1" t="s">
        <v>17</v>
      </c>
    </row>
    <row r="448" spans="1:7" x14ac:dyDescent="0.3">
      <c r="A448" s="2">
        <v>45098</v>
      </c>
      <c r="B448" s="1">
        <v>130000</v>
      </c>
      <c r="C448" s="1" t="s">
        <v>14</v>
      </c>
      <c r="D448" s="1">
        <v>5940.67</v>
      </c>
      <c r="E448" s="1" t="s">
        <v>15</v>
      </c>
      <c r="F448" s="1" t="s">
        <v>32</v>
      </c>
      <c r="G448" s="1" t="s">
        <v>23</v>
      </c>
    </row>
    <row r="449" spans="1:7" x14ac:dyDescent="0.3">
      <c r="A449" s="2">
        <v>45163</v>
      </c>
      <c r="B449" s="1">
        <v>40000</v>
      </c>
      <c r="C449" s="1" t="s">
        <v>7</v>
      </c>
      <c r="D449" s="1">
        <v>3839.35</v>
      </c>
      <c r="E449" s="1" t="s">
        <v>15</v>
      </c>
      <c r="F449" s="1" t="s">
        <v>18</v>
      </c>
      <c r="G449" s="1" t="s">
        <v>21</v>
      </c>
    </row>
    <row r="450" spans="1:7" x14ac:dyDescent="0.3">
      <c r="A450" s="2">
        <v>45233</v>
      </c>
      <c r="B450" s="1">
        <v>30000</v>
      </c>
      <c r="C450" s="1" t="s">
        <v>7</v>
      </c>
      <c r="D450" s="1">
        <v>9269.6299999999992</v>
      </c>
      <c r="E450" s="1" t="s">
        <v>8</v>
      </c>
      <c r="F450" s="1" t="s">
        <v>13</v>
      </c>
      <c r="G450" s="1" t="s">
        <v>31</v>
      </c>
    </row>
    <row r="451" spans="1:7" x14ac:dyDescent="0.3">
      <c r="A451" s="2">
        <v>44930</v>
      </c>
      <c r="B451" s="1">
        <v>40000</v>
      </c>
      <c r="C451" s="1" t="s">
        <v>7</v>
      </c>
      <c r="D451" s="1">
        <v>9435.91</v>
      </c>
      <c r="E451" s="1" t="s">
        <v>8</v>
      </c>
      <c r="F451" s="1" t="s">
        <v>11</v>
      </c>
      <c r="G451" s="1" t="s">
        <v>19</v>
      </c>
    </row>
    <row r="452" spans="1:7" x14ac:dyDescent="0.3">
      <c r="A452" s="2">
        <v>45239</v>
      </c>
      <c r="B452" s="1">
        <v>10000</v>
      </c>
      <c r="C452" s="1" t="s">
        <v>7</v>
      </c>
      <c r="D452" s="1">
        <v>5875.79</v>
      </c>
      <c r="E452" s="1" t="s">
        <v>8</v>
      </c>
      <c r="F452" s="1" t="s">
        <v>11</v>
      </c>
      <c r="G452" s="1" t="s">
        <v>31</v>
      </c>
    </row>
    <row r="453" spans="1:7" x14ac:dyDescent="0.3">
      <c r="A453" s="2">
        <v>45104</v>
      </c>
      <c r="B453" s="1">
        <v>40000</v>
      </c>
      <c r="C453" s="1" t="s">
        <v>7</v>
      </c>
      <c r="D453" s="1">
        <v>7288.65</v>
      </c>
      <c r="E453" s="1" t="s">
        <v>8</v>
      </c>
      <c r="F453" s="1" t="s">
        <v>9</v>
      </c>
      <c r="G453" s="1" t="s">
        <v>23</v>
      </c>
    </row>
    <row r="454" spans="1:7" x14ac:dyDescent="0.3">
      <c r="A454" s="2">
        <v>45277</v>
      </c>
      <c r="B454" s="1">
        <v>30000</v>
      </c>
      <c r="C454" s="1" t="s">
        <v>14</v>
      </c>
      <c r="D454" s="1">
        <v>9812.07</v>
      </c>
      <c r="E454" s="1" t="s">
        <v>8</v>
      </c>
      <c r="F454" s="1" t="s">
        <v>11</v>
      </c>
      <c r="G454" s="1" t="s">
        <v>10</v>
      </c>
    </row>
    <row r="455" spans="1:7" x14ac:dyDescent="0.3">
      <c r="A455" s="2">
        <v>45155</v>
      </c>
      <c r="B455" s="1">
        <v>70000</v>
      </c>
      <c r="C455" s="1" t="s">
        <v>14</v>
      </c>
      <c r="D455" s="1">
        <v>162.94</v>
      </c>
      <c r="E455" s="1" t="s">
        <v>8</v>
      </c>
      <c r="F455" s="1" t="s">
        <v>22</v>
      </c>
      <c r="G455" s="1" t="s">
        <v>21</v>
      </c>
    </row>
    <row r="456" spans="1:7" x14ac:dyDescent="0.3">
      <c r="A456" s="2">
        <v>45203</v>
      </c>
      <c r="B456" s="1">
        <v>30000</v>
      </c>
      <c r="C456" s="1" t="s">
        <v>7</v>
      </c>
      <c r="D456" s="1">
        <v>4839.34</v>
      </c>
      <c r="E456" s="1" t="s">
        <v>8</v>
      </c>
      <c r="F456" s="1" t="s">
        <v>22</v>
      </c>
      <c r="G456" s="1" t="s">
        <v>28</v>
      </c>
    </row>
    <row r="457" spans="1:7" x14ac:dyDescent="0.3">
      <c r="A457" s="2">
        <v>45171</v>
      </c>
      <c r="B457" s="1">
        <v>80000</v>
      </c>
      <c r="C457" s="1" t="s">
        <v>7</v>
      </c>
      <c r="D457" s="1">
        <v>3001.07</v>
      </c>
      <c r="E457" s="1" t="s">
        <v>8</v>
      </c>
      <c r="F457" s="1" t="s">
        <v>11</v>
      </c>
      <c r="G457" s="1" t="s">
        <v>27</v>
      </c>
    </row>
    <row r="458" spans="1:7" x14ac:dyDescent="0.3">
      <c r="A458" s="2">
        <v>44936</v>
      </c>
      <c r="B458" s="1">
        <v>120000</v>
      </c>
      <c r="C458" s="1" t="s">
        <v>7</v>
      </c>
      <c r="D458" s="1">
        <v>6942.38</v>
      </c>
      <c r="E458" s="1" t="s">
        <v>15</v>
      </c>
      <c r="F458" s="1" t="s">
        <v>20</v>
      </c>
      <c r="G458" s="1" t="s">
        <v>19</v>
      </c>
    </row>
    <row r="459" spans="1:7" x14ac:dyDescent="0.3">
      <c r="A459" s="2">
        <v>44950</v>
      </c>
      <c r="B459" s="1">
        <v>20000</v>
      </c>
      <c r="C459" s="1" t="s">
        <v>7</v>
      </c>
      <c r="D459" s="1">
        <v>3414.47</v>
      </c>
      <c r="E459" s="1" t="s">
        <v>15</v>
      </c>
      <c r="F459" s="1" t="s">
        <v>16</v>
      </c>
      <c r="G459" s="1" t="s">
        <v>19</v>
      </c>
    </row>
    <row r="460" spans="1:7" x14ac:dyDescent="0.3">
      <c r="A460" s="2">
        <v>44981</v>
      </c>
      <c r="B460" s="1">
        <v>120000</v>
      </c>
      <c r="C460" s="1" t="s">
        <v>14</v>
      </c>
      <c r="D460" s="1">
        <v>5945.93</v>
      </c>
      <c r="E460" s="1" t="s">
        <v>15</v>
      </c>
      <c r="F460" s="1" t="s">
        <v>32</v>
      </c>
      <c r="G460" s="1" t="s">
        <v>24</v>
      </c>
    </row>
    <row r="461" spans="1:7" x14ac:dyDescent="0.3">
      <c r="A461" s="2">
        <v>45035</v>
      </c>
      <c r="B461" s="1">
        <v>80000</v>
      </c>
      <c r="C461" s="1" t="s">
        <v>14</v>
      </c>
      <c r="D461" s="1">
        <v>1942.95</v>
      </c>
      <c r="E461" s="1" t="s">
        <v>8</v>
      </c>
      <c r="F461" s="1" t="s">
        <v>13</v>
      </c>
      <c r="G461" s="1" t="s">
        <v>30</v>
      </c>
    </row>
    <row r="462" spans="1:7" x14ac:dyDescent="0.3">
      <c r="A462" s="2">
        <v>45033</v>
      </c>
      <c r="B462" s="1">
        <v>20000</v>
      </c>
      <c r="C462" s="1" t="s">
        <v>7</v>
      </c>
      <c r="D462" s="1">
        <v>3211.35</v>
      </c>
      <c r="E462" s="1" t="s">
        <v>8</v>
      </c>
      <c r="F462" s="1" t="s">
        <v>26</v>
      </c>
      <c r="G462" s="1" t="s">
        <v>30</v>
      </c>
    </row>
    <row r="463" spans="1:7" x14ac:dyDescent="0.3">
      <c r="A463" s="2">
        <v>45289</v>
      </c>
      <c r="B463" s="1">
        <v>120000</v>
      </c>
      <c r="C463" s="1" t="s">
        <v>14</v>
      </c>
      <c r="D463" s="1">
        <v>6144.58</v>
      </c>
      <c r="E463" s="1" t="s">
        <v>15</v>
      </c>
      <c r="F463" s="1" t="s">
        <v>18</v>
      </c>
      <c r="G463" s="1" t="s">
        <v>10</v>
      </c>
    </row>
    <row r="464" spans="1:7" x14ac:dyDescent="0.3">
      <c r="A464" s="2">
        <v>45161</v>
      </c>
      <c r="B464" s="1">
        <v>40000</v>
      </c>
      <c r="C464" s="1" t="s">
        <v>7</v>
      </c>
      <c r="D464" s="1">
        <v>172.96</v>
      </c>
      <c r="E464" s="1" t="s">
        <v>8</v>
      </c>
      <c r="F464" s="1" t="s">
        <v>13</v>
      </c>
      <c r="G464" s="1" t="s">
        <v>21</v>
      </c>
    </row>
    <row r="465" spans="1:7" x14ac:dyDescent="0.3">
      <c r="A465" s="2">
        <v>44941</v>
      </c>
      <c r="B465" s="1">
        <v>20000</v>
      </c>
      <c r="C465" s="1" t="s">
        <v>7</v>
      </c>
      <c r="D465" s="1">
        <v>8573.5</v>
      </c>
      <c r="E465" s="1" t="s">
        <v>8</v>
      </c>
      <c r="F465" s="1" t="s">
        <v>11</v>
      </c>
      <c r="G465" s="1" t="s">
        <v>19</v>
      </c>
    </row>
    <row r="466" spans="1:7" x14ac:dyDescent="0.3">
      <c r="A466" s="2">
        <v>45108</v>
      </c>
      <c r="B466" s="1">
        <v>30000</v>
      </c>
      <c r="C466" s="1" t="s">
        <v>7</v>
      </c>
      <c r="D466" s="1">
        <v>131.38</v>
      </c>
      <c r="E466" s="1" t="s">
        <v>15</v>
      </c>
      <c r="F466" s="1" t="s">
        <v>32</v>
      </c>
      <c r="G466" s="1" t="s">
        <v>29</v>
      </c>
    </row>
    <row r="467" spans="1:7" x14ac:dyDescent="0.3">
      <c r="A467" s="2">
        <v>45230</v>
      </c>
      <c r="B467" s="1">
        <v>40000</v>
      </c>
      <c r="C467" s="1" t="s">
        <v>14</v>
      </c>
      <c r="D467" s="1">
        <v>8491.1</v>
      </c>
      <c r="E467" s="1" t="s">
        <v>15</v>
      </c>
      <c r="F467" s="1" t="s">
        <v>18</v>
      </c>
      <c r="G467" s="1" t="s">
        <v>28</v>
      </c>
    </row>
    <row r="468" spans="1:7" x14ac:dyDescent="0.3">
      <c r="A468" s="2">
        <v>44999</v>
      </c>
      <c r="B468" s="1">
        <v>30000</v>
      </c>
      <c r="C468" s="1" t="s">
        <v>7</v>
      </c>
      <c r="D468" s="1">
        <v>5076.5</v>
      </c>
      <c r="E468" s="1" t="s">
        <v>8</v>
      </c>
      <c r="F468" s="1" t="s">
        <v>26</v>
      </c>
      <c r="G468" s="1" t="s">
        <v>12</v>
      </c>
    </row>
    <row r="469" spans="1:7" x14ac:dyDescent="0.3">
      <c r="A469" s="2">
        <v>44967</v>
      </c>
      <c r="B469" s="1">
        <v>100000</v>
      </c>
      <c r="C469" s="1" t="s">
        <v>14</v>
      </c>
      <c r="D469" s="1">
        <v>3617.19</v>
      </c>
      <c r="E469" s="1" t="s">
        <v>15</v>
      </c>
      <c r="F469" s="1" t="s">
        <v>16</v>
      </c>
      <c r="G469" s="1" t="s">
        <v>24</v>
      </c>
    </row>
    <row r="470" spans="1:7" x14ac:dyDescent="0.3">
      <c r="A470" s="2">
        <v>44946</v>
      </c>
      <c r="B470" s="1">
        <v>80000</v>
      </c>
      <c r="C470" s="1" t="s">
        <v>14</v>
      </c>
      <c r="D470" s="1">
        <v>5018.91</v>
      </c>
      <c r="E470" s="1" t="s">
        <v>15</v>
      </c>
      <c r="F470" s="1" t="s">
        <v>25</v>
      </c>
      <c r="G470" s="1" t="s">
        <v>19</v>
      </c>
    </row>
    <row r="471" spans="1:7" x14ac:dyDescent="0.3">
      <c r="A471" s="2">
        <v>45190</v>
      </c>
      <c r="B471" s="1">
        <v>30000</v>
      </c>
      <c r="C471" s="1" t="s">
        <v>7</v>
      </c>
      <c r="D471" s="1">
        <v>4935.91</v>
      </c>
      <c r="E471" s="1" t="s">
        <v>15</v>
      </c>
      <c r="F471" s="1" t="s">
        <v>16</v>
      </c>
      <c r="G471" s="1" t="s">
        <v>27</v>
      </c>
    </row>
    <row r="472" spans="1:7" x14ac:dyDescent="0.3">
      <c r="A472" s="2">
        <v>45120</v>
      </c>
      <c r="B472" s="1">
        <v>30000</v>
      </c>
      <c r="C472" s="1" t="s">
        <v>7</v>
      </c>
      <c r="D472" s="1">
        <v>1165.1099999999999</v>
      </c>
      <c r="E472" s="1" t="s">
        <v>8</v>
      </c>
      <c r="F472" s="1" t="s">
        <v>26</v>
      </c>
      <c r="G472" s="1" t="s">
        <v>29</v>
      </c>
    </row>
    <row r="473" spans="1:7" x14ac:dyDescent="0.3">
      <c r="A473" s="2">
        <v>45175</v>
      </c>
      <c r="B473" s="1">
        <v>70000</v>
      </c>
      <c r="C473" s="1" t="s">
        <v>14</v>
      </c>
      <c r="D473" s="1">
        <v>1506.44</v>
      </c>
      <c r="E473" s="1" t="s">
        <v>8</v>
      </c>
      <c r="F473" s="1" t="s">
        <v>22</v>
      </c>
      <c r="G473" s="1" t="s">
        <v>27</v>
      </c>
    </row>
    <row r="474" spans="1:7" x14ac:dyDescent="0.3">
      <c r="A474" s="2">
        <v>45276</v>
      </c>
      <c r="B474" s="1">
        <v>40000</v>
      </c>
      <c r="C474" s="1" t="s">
        <v>7</v>
      </c>
      <c r="D474" s="1">
        <v>7056.54</v>
      </c>
      <c r="E474" s="1" t="s">
        <v>15</v>
      </c>
      <c r="F474" s="1" t="s">
        <v>16</v>
      </c>
      <c r="G474" s="1" t="s">
        <v>10</v>
      </c>
    </row>
    <row r="475" spans="1:7" x14ac:dyDescent="0.3">
      <c r="A475" s="2">
        <v>45265</v>
      </c>
      <c r="B475" s="1">
        <v>30000</v>
      </c>
      <c r="C475" s="1" t="s">
        <v>7</v>
      </c>
      <c r="D475" s="1">
        <v>8292.7199999999993</v>
      </c>
      <c r="E475" s="1" t="s">
        <v>15</v>
      </c>
      <c r="F475" s="1" t="s">
        <v>18</v>
      </c>
      <c r="G475" s="1" t="s">
        <v>10</v>
      </c>
    </row>
    <row r="476" spans="1:7" x14ac:dyDescent="0.3">
      <c r="A476" s="2">
        <v>45172</v>
      </c>
      <c r="B476" s="1">
        <v>90000</v>
      </c>
      <c r="C476" s="1" t="s">
        <v>14</v>
      </c>
      <c r="D476" s="1">
        <v>2995.34</v>
      </c>
      <c r="E476" s="1" t="s">
        <v>8</v>
      </c>
      <c r="F476" s="1" t="s">
        <v>22</v>
      </c>
      <c r="G476" s="1" t="s">
        <v>27</v>
      </c>
    </row>
    <row r="477" spans="1:7" x14ac:dyDescent="0.3">
      <c r="A477" s="2">
        <v>44949</v>
      </c>
      <c r="B477" s="1">
        <v>20000</v>
      </c>
      <c r="C477" s="1" t="s">
        <v>14</v>
      </c>
      <c r="D477" s="1">
        <v>3668.08</v>
      </c>
      <c r="E477" s="1" t="s">
        <v>8</v>
      </c>
      <c r="F477" s="1" t="s">
        <v>22</v>
      </c>
      <c r="G477" s="1" t="s">
        <v>19</v>
      </c>
    </row>
    <row r="478" spans="1:7" x14ac:dyDescent="0.3">
      <c r="A478" s="2">
        <v>45228</v>
      </c>
      <c r="B478" s="1">
        <v>70000</v>
      </c>
      <c r="C478" s="1" t="s">
        <v>14</v>
      </c>
      <c r="D478" s="1">
        <v>5480.44</v>
      </c>
      <c r="E478" s="1" t="s">
        <v>15</v>
      </c>
      <c r="F478" s="1" t="s">
        <v>16</v>
      </c>
      <c r="G478" s="1" t="s">
        <v>28</v>
      </c>
    </row>
    <row r="479" spans="1:7" x14ac:dyDescent="0.3">
      <c r="A479" s="2">
        <v>45071</v>
      </c>
      <c r="B479" s="1">
        <v>70000</v>
      </c>
      <c r="C479" s="1" t="s">
        <v>14</v>
      </c>
      <c r="D479" s="1">
        <v>8833.1</v>
      </c>
      <c r="E479" s="1" t="s">
        <v>8</v>
      </c>
      <c r="F479" s="1" t="s">
        <v>9</v>
      </c>
      <c r="G479" s="1" t="s">
        <v>17</v>
      </c>
    </row>
    <row r="480" spans="1:7" x14ac:dyDescent="0.3">
      <c r="A480" s="2">
        <v>45290</v>
      </c>
      <c r="B480" s="1">
        <v>30000</v>
      </c>
      <c r="C480" s="1" t="s">
        <v>7</v>
      </c>
      <c r="D480" s="1">
        <v>8744.8799999999992</v>
      </c>
      <c r="E480" s="1" t="s">
        <v>15</v>
      </c>
      <c r="F480" s="1" t="s">
        <v>32</v>
      </c>
      <c r="G480" s="1" t="s">
        <v>10</v>
      </c>
    </row>
    <row r="481" spans="1:7" x14ac:dyDescent="0.3">
      <c r="A481" s="2">
        <v>45027</v>
      </c>
      <c r="B481" s="1">
        <v>40000</v>
      </c>
      <c r="C481" s="1" t="s">
        <v>7</v>
      </c>
      <c r="D481" s="1">
        <v>479.75</v>
      </c>
      <c r="E481" s="1" t="s">
        <v>15</v>
      </c>
      <c r="F481" s="1" t="s">
        <v>16</v>
      </c>
      <c r="G481" s="1" t="s">
        <v>30</v>
      </c>
    </row>
    <row r="482" spans="1:7" x14ac:dyDescent="0.3">
      <c r="A482" s="2">
        <v>44998</v>
      </c>
      <c r="B482" s="1">
        <v>90000</v>
      </c>
      <c r="C482" s="1" t="s">
        <v>14</v>
      </c>
      <c r="D482" s="1">
        <v>2074.77</v>
      </c>
      <c r="E482" s="1" t="s">
        <v>15</v>
      </c>
      <c r="F482" s="1" t="s">
        <v>25</v>
      </c>
      <c r="G482" s="1" t="s">
        <v>12</v>
      </c>
    </row>
    <row r="483" spans="1:7" x14ac:dyDescent="0.3">
      <c r="A483" s="2">
        <v>45214</v>
      </c>
      <c r="B483" s="1">
        <v>40000</v>
      </c>
      <c r="C483" s="1" t="s">
        <v>7</v>
      </c>
      <c r="D483" s="1">
        <v>8158</v>
      </c>
      <c r="E483" s="1" t="s">
        <v>8</v>
      </c>
      <c r="F483" s="1" t="s">
        <v>13</v>
      </c>
      <c r="G483" s="1" t="s">
        <v>28</v>
      </c>
    </row>
    <row r="484" spans="1:7" x14ac:dyDescent="0.3">
      <c r="A484" s="2">
        <v>45191</v>
      </c>
      <c r="B484" s="1">
        <v>40000</v>
      </c>
      <c r="C484" s="1" t="s">
        <v>7</v>
      </c>
      <c r="D484" s="1">
        <v>1397.82</v>
      </c>
      <c r="E484" s="1" t="s">
        <v>15</v>
      </c>
      <c r="F484" s="1" t="s">
        <v>32</v>
      </c>
      <c r="G484" s="1" t="s">
        <v>27</v>
      </c>
    </row>
    <row r="485" spans="1:7" x14ac:dyDescent="0.3">
      <c r="A485" s="2">
        <v>45145</v>
      </c>
      <c r="B485" s="1">
        <v>10000</v>
      </c>
      <c r="C485" s="1" t="s">
        <v>7</v>
      </c>
      <c r="D485" s="1">
        <v>3378.71</v>
      </c>
      <c r="E485" s="1" t="s">
        <v>8</v>
      </c>
      <c r="F485" s="1" t="s">
        <v>13</v>
      </c>
      <c r="G485" s="1" t="s">
        <v>21</v>
      </c>
    </row>
    <row r="486" spans="1:7" x14ac:dyDescent="0.3">
      <c r="A486" s="2">
        <v>45078</v>
      </c>
      <c r="B486" s="1">
        <v>30000</v>
      </c>
      <c r="C486" s="1" t="s">
        <v>7</v>
      </c>
      <c r="D486" s="1">
        <v>3271.94</v>
      </c>
      <c r="E486" s="1" t="s">
        <v>15</v>
      </c>
      <c r="F486" s="1" t="s">
        <v>25</v>
      </c>
      <c r="G486" s="1" t="s">
        <v>23</v>
      </c>
    </row>
    <row r="487" spans="1:7" x14ac:dyDescent="0.3">
      <c r="A487" s="2">
        <v>45237</v>
      </c>
      <c r="B487" s="1">
        <v>30000</v>
      </c>
      <c r="C487" s="1" t="s">
        <v>7</v>
      </c>
      <c r="D487" s="1">
        <v>5205.1899999999996</v>
      </c>
      <c r="E487" s="1" t="s">
        <v>15</v>
      </c>
      <c r="F487" s="1" t="s">
        <v>32</v>
      </c>
      <c r="G487" s="1" t="s">
        <v>31</v>
      </c>
    </row>
    <row r="488" spans="1:7" x14ac:dyDescent="0.3">
      <c r="A488" s="2">
        <v>44973</v>
      </c>
      <c r="B488" s="1">
        <v>90000</v>
      </c>
      <c r="C488" s="1" t="s">
        <v>7</v>
      </c>
      <c r="D488" s="1">
        <v>1522.71</v>
      </c>
      <c r="E488" s="1" t="s">
        <v>15</v>
      </c>
      <c r="F488" s="1" t="s">
        <v>32</v>
      </c>
      <c r="G488" s="1" t="s">
        <v>24</v>
      </c>
    </row>
    <row r="489" spans="1:7" x14ac:dyDescent="0.3">
      <c r="A489" s="2">
        <v>45117</v>
      </c>
      <c r="B489" s="1">
        <v>40000</v>
      </c>
      <c r="C489" s="1" t="s">
        <v>7</v>
      </c>
      <c r="D489" s="1">
        <v>1233.55</v>
      </c>
      <c r="E489" s="1" t="s">
        <v>15</v>
      </c>
      <c r="F489" s="1" t="s">
        <v>32</v>
      </c>
      <c r="G489" s="1" t="s">
        <v>29</v>
      </c>
    </row>
    <row r="490" spans="1:7" x14ac:dyDescent="0.3">
      <c r="A490" s="2">
        <v>45156</v>
      </c>
      <c r="B490" s="1">
        <v>10000</v>
      </c>
      <c r="C490" s="1" t="s">
        <v>7</v>
      </c>
      <c r="D490" s="1">
        <v>724.86</v>
      </c>
      <c r="E490" s="1" t="s">
        <v>15</v>
      </c>
      <c r="F490" s="1" t="s">
        <v>32</v>
      </c>
      <c r="G490" s="1" t="s">
        <v>21</v>
      </c>
    </row>
    <row r="491" spans="1:7" x14ac:dyDescent="0.3">
      <c r="A491" s="2">
        <v>45265</v>
      </c>
      <c r="B491" s="1">
        <v>20000</v>
      </c>
      <c r="C491" s="1" t="s">
        <v>7</v>
      </c>
      <c r="D491" s="1">
        <v>6456.67</v>
      </c>
      <c r="E491" s="1" t="s">
        <v>8</v>
      </c>
      <c r="F491" s="1" t="s">
        <v>22</v>
      </c>
      <c r="G491" s="1" t="s">
        <v>10</v>
      </c>
    </row>
    <row r="492" spans="1:7" x14ac:dyDescent="0.3">
      <c r="A492" s="2">
        <v>45095</v>
      </c>
      <c r="B492" s="1">
        <v>60000</v>
      </c>
      <c r="C492" s="1" t="s">
        <v>33</v>
      </c>
      <c r="D492" s="1">
        <v>7781.9</v>
      </c>
      <c r="E492" s="1" t="s">
        <v>15</v>
      </c>
      <c r="F492" s="1" t="s">
        <v>25</v>
      </c>
      <c r="G492" s="1" t="s">
        <v>23</v>
      </c>
    </row>
    <row r="493" spans="1:7" x14ac:dyDescent="0.3">
      <c r="A493" s="2">
        <v>45013</v>
      </c>
      <c r="B493" s="1">
        <v>70000</v>
      </c>
      <c r="C493" s="1" t="s">
        <v>33</v>
      </c>
      <c r="D493" s="1">
        <v>4367.95</v>
      </c>
      <c r="E493" s="1" t="s">
        <v>15</v>
      </c>
      <c r="F493" s="1" t="s">
        <v>18</v>
      </c>
      <c r="G493" s="1" t="s">
        <v>12</v>
      </c>
    </row>
    <row r="494" spans="1:7" x14ac:dyDescent="0.3">
      <c r="A494" s="2">
        <v>45257</v>
      </c>
      <c r="B494" s="1">
        <v>40000</v>
      </c>
      <c r="C494" s="1" t="s">
        <v>33</v>
      </c>
      <c r="D494" s="1">
        <v>4510.54</v>
      </c>
      <c r="E494" s="1" t="s">
        <v>15</v>
      </c>
      <c r="F494" s="1" t="s">
        <v>18</v>
      </c>
      <c r="G494" s="1" t="s">
        <v>31</v>
      </c>
    </row>
    <row r="495" spans="1:7" x14ac:dyDescent="0.3">
      <c r="A495" s="2">
        <v>45002</v>
      </c>
      <c r="B495" s="1">
        <v>70000</v>
      </c>
      <c r="C495" s="1" t="s">
        <v>33</v>
      </c>
      <c r="D495" s="1">
        <v>5440.84</v>
      </c>
      <c r="E495" s="1" t="s">
        <v>8</v>
      </c>
      <c r="F495" s="1" t="s">
        <v>11</v>
      </c>
      <c r="G495" s="1" t="s">
        <v>12</v>
      </c>
    </row>
    <row r="496" spans="1:7" x14ac:dyDescent="0.3">
      <c r="A496" s="2">
        <v>45270</v>
      </c>
      <c r="B496" s="1">
        <v>70000</v>
      </c>
      <c r="C496" s="1" t="s">
        <v>33</v>
      </c>
      <c r="D496" s="1">
        <v>2455.11</v>
      </c>
      <c r="E496" s="1" t="s">
        <v>8</v>
      </c>
      <c r="F496" s="1" t="s">
        <v>9</v>
      </c>
      <c r="G496" s="1" t="s">
        <v>10</v>
      </c>
    </row>
    <row r="497" spans="1:7" x14ac:dyDescent="0.3">
      <c r="A497" s="2">
        <v>45214</v>
      </c>
      <c r="B497" s="1">
        <v>60000</v>
      </c>
      <c r="C497" s="1" t="s">
        <v>33</v>
      </c>
      <c r="D497" s="1">
        <v>5040.1499999999996</v>
      </c>
      <c r="E497" s="1" t="s">
        <v>8</v>
      </c>
      <c r="F497" s="1" t="s">
        <v>26</v>
      </c>
      <c r="G497" s="1" t="s">
        <v>28</v>
      </c>
    </row>
    <row r="498" spans="1:7" x14ac:dyDescent="0.3">
      <c r="A498" s="2">
        <v>45079</v>
      </c>
      <c r="B498" s="1">
        <v>60000</v>
      </c>
      <c r="C498" s="1" t="s">
        <v>33</v>
      </c>
      <c r="D498" s="1">
        <v>836.19</v>
      </c>
      <c r="E498" s="1" t="s">
        <v>8</v>
      </c>
      <c r="F498" s="1" t="s">
        <v>9</v>
      </c>
      <c r="G498" s="1" t="s">
        <v>23</v>
      </c>
    </row>
    <row r="499" spans="1:7" x14ac:dyDescent="0.3">
      <c r="A499" s="2">
        <v>45104</v>
      </c>
      <c r="B499" s="1">
        <v>70000</v>
      </c>
      <c r="C499" s="1" t="s">
        <v>33</v>
      </c>
      <c r="D499" s="1">
        <v>1488.1</v>
      </c>
      <c r="E499" s="1" t="s">
        <v>8</v>
      </c>
      <c r="F499" s="1" t="s">
        <v>9</v>
      </c>
      <c r="G499" s="1" t="s">
        <v>23</v>
      </c>
    </row>
    <row r="500" spans="1:7" x14ac:dyDescent="0.3">
      <c r="A500" s="2">
        <v>45057</v>
      </c>
      <c r="B500" s="1">
        <v>80000</v>
      </c>
      <c r="C500" s="1" t="s">
        <v>33</v>
      </c>
      <c r="D500" s="1">
        <v>5995.31</v>
      </c>
      <c r="E500" s="1" t="s">
        <v>8</v>
      </c>
      <c r="F500" s="1" t="s">
        <v>9</v>
      </c>
      <c r="G500" s="1" t="s">
        <v>17</v>
      </c>
    </row>
    <row r="501" spans="1:7" x14ac:dyDescent="0.3">
      <c r="A501" s="2">
        <v>44928</v>
      </c>
      <c r="B501" s="1">
        <v>40000</v>
      </c>
      <c r="C501" s="1" t="s">
        <v>33</v>
      </c>
      <c r="D501" s="1">
        <v>1913.74</v>
      </c>
      <c r="E501" s="1" t="s">
        <v>8</v>
      </c>
      <c r="F501" s="1" t="s">
        <v>26</v>
      </c>
      <c r="G501" s="1" t="s">
        <v>19</v>
      </c>
    </row>
    <row r="502" spans="1:7" x14ac:dyDescent="0.3">
      <c r="A502" s="2">
        <v>45089</v>
      </c>
      <c r="B502" s="1">
        <v>60000</v>
      </c>
      <c r="C502" s="1" t="s">
        <v>33</v>
      </c>
      <c r="D502" s="1">
        <v>6623.49</v>
      </c>
      <c r="E502" s="1" t="s">
        <v>15</v>
      </c>
      <c r="F502" s="1" t="s">
        <v>20</v>
      </c>
      <c r="G502" s="1" t="s">
        <v>23</v>
      </c>
    </row>
    <row r="503" spans="1:7" x14ac:dyDescent="0.3">
      <c r="A503" s="2">
        <v>45001</v>
      </c>
      <c r="B503" s="1">
        <v>50000</v>
      </c>
      <c r="C503" s="1" t="s">
        <v>33</v>
      </c>
      <c r="D503" s="1">
        <v>417.3</v>
      </c>
      <c r="E503" s="1" t="s">
        <v>8</v>
      </c>
      <c r="F503" s="1" t="s">
        <v>22</v>
      </c>
      <c r="G503" s="1" t="s">
        <v>12</v>
      </c>
    </row>
    <row r="504" spans="1:7" x14ac:dyDescent="0.3">
      <c r="A504" s="2">
        <v>45251</v>
      </c>
      <c r="B504" s="1">
        <v>40000</v>
      </c>
      <c r="C504" s="1" t="s">
        <v>33</v>
      </c>
      <c r="D504" s="1">
        <v>8528.8700000000008</v>
      </c>
      <c r="E504" s="1" t="s">
        <v>8</v>
      </c>
      <c r="F504" s="1" t="s">
        <v>11</v>
      </c>
      <c r="G504" s="1" t="s">
        <v>31</v>
      </c>
    </row>
    <row r="505" spans="1:7" x14ac:dyDescent="0.3">
      <c r="A505" s="2">
        <v>44979</v>
      </c>
      <c r="B505" s="1">
        <v>130000</v>
      </c>
      <c r="C505" s="1" t="s">
        <v>33</v>
      </c>
      <c r="D505" s="1">
        <v>9298</v>
      </c>
      <c r="E505" s="1" t="s">
        <v>8</v>
      </c>
      <c r="F505" s="1" t="s">
        <v>11</v>
      </c>
      <c r="G505" s="1" t="s">
        <v>24</v>
      </c>
    </row>
    <row r="506" spans="1:7" x14ac:dyDescent="0.3">
      <c r="A506" s="2">
        <v>44951</v>
      </c>
      <c r="B506" s="1">
        <v>70000</v>
      </c>
      <c r="C506" s="1" t="s">
        <v>33</v>
      </c>
      <c r="D506" s="1">
        <v>3405.87</v>
      </c>
      <c r="E506" s="1" t="s">
        <v>8</v>
      </c>
      <c r="F506" s="1" t="s">
        <v>22</v>
      </c>
      <c r="G506" s="1" t="s">
        <v>19</v>
      </c>
    </row>
    <row r="507" spans="1:7" x14ac:dyDescent="0.3">
      <c r="A507" s="2">
        <v>45100</v>
      </c>
      <c r="B507" s="1">
        <v>100000</v>
      </c>
      <c r="C507" s="1" t="s">
        <v>33</v>
      </c>
      <c r="D507" s="1">
        <v>2496.5500000000002</v>
      </c>
      <c r="E507" s="1" t="s">
        <v>8</v>
      </c>
      <c r="F507" s="1" t="s">
        <v>11</v>
      </c>
      <c r="G507" s="1" t="s">
        <v>23</v>
      </c>
    </row>
    <row r="508" spans="1:7" x14ac:dyDescent="0.3">
      <c r="A508" s="2">
        <v>45099</v>
      </c>
      <c r="B508" s="1">
        <v>70000</v>
      </c>
      <c r="C508" s="1" t="s">
        <v>33</v>
      </c>
      <c r="D508" s="1">
        <v>6943.9</v>
      </c>
      <c r="E508" s="1" t="s">
        <v>15</v>
      </c>
      <c r="F508" s="1" t="s">
        <v>18</v>
      </c>
      <c r="G508" s="1" t="s">
        <v>23</v>
      </c>
    </row>
    <row r="509" spans="1:7" x14ac:dyDescent="0.3">
      <c r="A509" s="2">
        <v>45270</v>
      </c>
      <c r="B509" s="1">
        <v>40000</v>
      </c>
      <c r="C509" s="1" t="s">
        <v>33</v>
      </c>
      <c r="D509" s="1">
        <v>8739.6200000000008</v>
      </c>
      <c r="E509" s="1" t="s">
        <v>15</v>
      </c>
      <c r="F509" s="1" t="s">
        <v>16</v>
      </c>
      <c r="G509" s="1" t="s">
        <v>10</v>
      </c>
    </row>
    <row r="510" spans="1:7" x14ac:dyDescent="0.3">
      <c r="A510" s="2">
        <v>45120</v>
      </c>
      <c r="B510" s="1">
        <v>60000</v>
      </c>
      <c r="C510" s="1" t="s">
        <v>33</v>
      </c>
      <c r="D510" s="1">
        <v>6259.77</v>
      </c>
      <c r="E510" s="1" t="s">
        <v>15</v>
      </c>
      <c r="F510" s="1" t="s">
        <v>20</v>
      </c>
      <c r="G510" s="1" t="s">
        <v>29</v>
      </c>
    </row>
    <row r="511" spans="1:7" x14ac:dyDescent="0.3">
      <c r="A511" s="2">
        <v>44963</v>
      </c>
      <c r="B511" s="1">
        <v>80000</v>
      </c>
      <c r="C511" s="1" t="s">
        <v>33</v>
      </c>
      <c r="D511" s="1">
        <v>7242.16</v>
      </c>
      <c r="E511" s="1" t="s">
        <v>15</v>
      </c>
      <c r="F511" s="1" t="s">
        <v>32</v>
      </c>
      <c r="G511" s="1" t="s">
        <v>24</v>
      </c>
    </row>
    <row r="512" spans="1:7" x14ac:dyDescent="0.3">
      <c r="A512" s="2">
        <v>45026</v>
      </c>
      <c r="B512" s="1">
        <v>70000</v>
      </c>
      <c r="C512" s="1" t="s">
        <v>33</v>
      </c>
      <c r="D512" s="1">
        <v>9544.58</v>
      </c>
      <c r="E512" s="1" t="s">
        <v>15</v>
      </c>
      <c r="F512" s="1" t="s">
        <v>32</v>
      </c>
      <c r="G512" s="1" t="s">
        <v>30</v>
      </c>
    </row>
    <row r="513" spans="1:7" x14ac:dyDescent="0.3">
      <c r="A513" s="2">
        <v>45014</v>
      </c>
      <c r="B513" s="1">
        <v>80000</v>
      </c>
      <c r="C513" s="1" t="s">
        <v>33</v>
      </c>
      <c r="D513" s="1">
        <v>2721.82</v>
      </c>
      <c r="E513" s="1" t="s">
        <v>15</v>
      </c>
      <c r="F513" s="1" t="s">
        <v>16</v>
      </c>
      <c r="G513" s="1" t="s">
        <v>12</v>
      </c>
    </row>
    <row r="514" spans="1:7" x14ac:dyDescent="0.3">
      <c r="A514" s="2">
        <v>45110</v>
      </c>
      <c r="B514" s="1">
        <v>60000</v>
      </c>
      <c r="C514" s="1" t="s">
        <v>33</v>
      </c>
      <c r="D514" s="1">
        <v>770.56</v>
      </c>
      <c r="E514" s="1" t="s">
        <v>15</v>
      </c>
      <c r="F514" s="1" t="s">
        <v>16</v>
      </c>
      <c r="G514" s="1" t="s">
        <v>29</v>
      </c>
    </row>
    <row r="515" spans="1:7" x14ac:dyDescent="0.3">
      <c r="A515" s="2">
        <v>45120</v>
      </c>
      <c r="B515" s="1">
        <v>60000</v>
      </c>
      <c r="C515" s="1" t="s">
        <v>33</v>
      </c>
      <c r="D515" s="1">
        <v>7768.28</v>
      </c>
      <c r="E515" s="1" t="s">
        <v>8</v>
      </c>
      <c r="F515" s="1" t="s">
        <v>13</v>
      </c>
      <c r="G515" s="1" t="s">
        <v>29</v>
      </c>
    </row>
    <row r="516" spans="1:7" x14ac:dyDescent="0.3">
      <c r="A516" s="2">
        <v>45254</v>
      </c>
      <c r="B516" s="1">
        <v>40000</v>
      </c>
      <c r="C516" s="1" t="s">
        <v>33</v>
      </c>
      <c r="D516" s="1">
        <v>9969.18</v>
      </c>
      <c r="E516" s="1" t="s">
        <v>15</v>
      </c>
      <c r="F516" s="1" t="s">
        <v>20</v>
      </c>
      <c r="G516" s="1" t="s">
        <v>31</v>
      </c>
    </row>
    <row r="517" spans="1:7" x14ac:dyDescent="0.3">
      <c r="A517" s="2">
        <v>44997</v>
      </c>
      <c r="B517" s="1">
        <v>70000</v>
      </c>
      <c r="C517" s="1" t="s">
        <v>33</v>
      </c>
      <c r="D517" s="1">
        <v>3430.57</v>
      </c>
      <c r="E517" s="1" t="s">
        <v>8</v>
      </c>
      <c r="F517" s="1" t="s">
        <v>11</v>
      </c>
      <c r="G517" s="1" t="s">
        <v>12</v>
      </c>
    </row>
    <row r="518" spans="1:7" x14ac:dyDescent="0.3">
      <c r="A518" s="2">
        <v>45257</v>
      </c>
      <c r="B518" s="1">
        <v>60000</v>
      </c>
      <c r="C518" s="1" t="s">
        <v>33</v>
      </c>
      <c r="D518" s="1">
        <v>9482.5499999999993</v>
      </c>
      <c r="E518" s="1" t="s">
        <v>15</v>
      </c>
      <c r="F518" s="1" t="s">
        <v>25</v>
      </c>
      <c r="G518" s="1" t="s">
        <v>31</v>
      </c>
    </row>
    <row r="519" spans="1:7" x14ac:dyDescent="0.3">
      <c r="A519" s="2">
        <v>45154</v>
      </c>
      <c r="B519" s="1">
        <v>60000</v>
      </c>
      <c r="C519" s="1" t="s">
        <v>33</v>
      </c>
      <c r="D519" s="1">
        <v>5391.66</v>
      </c>
      <c r="E519" s="1" t="s">
        <v>8</v>
      </c>
      <c r="F519" s="1" t="s">
        <v>11</v>
      </c>
      <c r="G519" s="1" t="s">
        <v>21</v>
      </c>
    </row>
    <row r="520" spans="1:7" x14ac:dyDescent="0.3">
      <c r="A520" s="2">
        <v>45196</v>
      </c>
      <c r="B520" s="1">
        <v>80000</v>
      </c>
      <c r="C520" s="1" t="s">
        <v>33</v>
      </c>
      <c r="D520" s="1">
        <v>9745.07</v>
      </c>
      <c r="E520" s="1" t="s">
        <v>8</v>
      </c>
      <c r="F520" s="1" t="s">
        <v>9</v>
      </c>
      <c r="G520" s="1" t="s">
        <v>27</v>
      </c>
    </row>
    <row r="521" spans="1:7" x14ac:dyDescent="0.3">
      <c r="A521" s="2">
        <v>45131</v>
      </c>
      <c r="B521" s="1">
        <v>80000</v>
      </c>
      <c r="C521" s="1" t="s">
        <v>33</v>
      </c>
      <c r="D521" s="1">
        <v>3712.5</v>
      </c>
      <c r="E521" s="1" t="s">
        <v>8</v>
      </c>
      <c r="F521" s="1" t="s">
        <v>26</v>
      </c>
      <c r="G521" s="1" t="s">
        <v>29</v>
      </c>
    </row>
    <row r="522" spans="1:7" x14ac:dyDescent="0.3">
      <c r="A522" s="2">
        <v>44971</v>
      </c>
      <c r="B522" s="1">
        <v>100000</v>
      </c>
      <c r="C522" s="1" t="s">
        <v>33</v>
      </c>
      <c r="D522" s="1">
        <v>1536.04</v>
      </c>
      <c r="E522" s="1" t="s">
        <v>8</v>
      </c>
      <c r="F522" s="1" t="s">
        <v>26</v>
      </c>
      <c r="G522" s="1" t="s">
        <v>24</v>
      </c>
    </row>
    <row r="523" spans="1:7" x14ac:dyDescent="0.3">
      <c r="A523" s="2">
        <v>45058</v>
      </c>
      <c r="B523" s="1">
        <v>40000</v>
      </c>
      <c r="C523" s="1" t="s">
        <v>33</v>
      </c>
      <c r="D523" s="1">
        <v>5195.47</v>
      </c>
      <c r="E523" s="1" t="s">
        <v>15</v>
      </c>
      <c r="F523" s="1" t="s">
        <v>25</v>
      </c>
      <c r="G523" s="1" t="s">
        <v>17</v>
      </c>
    </row>
    <row r="524" spans="1:7" x14ac:dyDescent="0.3">
      <c r="A524" s="2">
        <v>45235</v>
      </c>
      <c r="B524" s="1">
        <v>60000</v>
      </c>
      <c r="C524" s="1" t="s">
        <v>33</v>
      </c>
      <c r="D524" s="1">
        <v>3385.46</v>
      </c>
      <c r="E524" s="1" t="s">
        <v>8</v>
      </c>
      <c r="F524" s="1" t="s">
        <v>22</v>
      </c>
      <c r="G524" s="1" t="s">
        <v>31</v>
      </c>
    </row>
    <row r="525" spans="1:7" x14ac:dyDescent="0.3">
      <c r="A525" s="2">
        <v>44998</v>
      </c>
      <c r="B525" s="1">
        <v>80000</v>
      </c>
      <c r="C525" s="1" t="s">
        <v>33</v>
      </c>
      <c r="D525" s="1">
        <v>942.14</v>
      </c>
      <c r="E525" s="1" t="s">
        <v>15</v>
      </c>
      <c r="F525" s="1" t="s">
        <v>20</v>
      </c>
      <c r="G525" s="1" t="s">
        <v>12</v>
      </c>
    </row>
    <row r="526" spans="1:7" x14ac:dyDescent="0.3">
      <c r="A526" s="2">
        <v>45229</v>
      </c>
      <c r="B526" s="1">
        <v>80000</v>
      </c>
      <c r="C526" s="1" t="s">
        <v>33</v>
      </c>
      <c r="D526" s="1">
        <v>8409.02</v>
      </c>
      <c r="E526" s="1" t="s">
        <v>15</v>
      </c>
      <c r="F526" s="1" t="s">
        <v>18</v>
      </c>
      <c r="G526" s="1" t="s">
        <v>28</v>
      </c>
    </row>
    <row r="527" spans="1:7" x14ac:dyDescent="0.3">
      <c r="A527" s="2">
        <v>45034</v>
      </c>
      <c r="B527" s="1">
        <v>60000</v>
      </c>
      <c r="C527" s="1" t="s">
        <v>33</v>
      </c>
      <c r="D527" s="1">
        <v>2414.42</v>
      </c>
      <c r="E527" s="1" t="s">
        <v>15</v>
      </c>
      <c r="F527" s="1" t="s">
        <v>32</v>
      </c>
      <c r="G527" s="1" t="s">
        <v>30</v>
      </c>
    </row>
    <row r="528" spans="1:7" x14ac:dyDescent="0.3">
      <c r="A528" s="2">
        <v>45153</v>
      </c>
      <c r="B528" s="1">
        <v>110000</v>
      </c>
      <c r="C528" s="1" t="s">
        <v>33</v>
      </c>
      <c r="D528" s="1">
        <v>179.56</v>
      </c>
      <c r="E528" s="1" t="s">
        <v>15</v>
      </c>
      <c r="F528" s="1" t="s">
        <v>16</v>
      </c>
      <c r="G528" s="1" t="s">
        <v>21</v>
      </c>
    </row>
    <row r="529" spans="1:7" x14ac:dyDescent="0.3">
      <c r="A529" s="2">
        <v>45023</v>
      </c>
      <c r="B529" s="1">
        <v>50000</v>
      </c>
      <c r="C529" s="1" t="s">
        <v>33</v>
      </c>
      <c r="D529" s="1">
        <v>9021.15</v>
      </c>
      <c r="E529" s="1" t="s">
        <v>15</v>
      </c>
      <c r="F529" s="1" t="s">
        <v>20</v>
      </c>
      <c r="G529" s="1" t="s">
        <v>30</v>
      </c>
    </row>
    <row r="530" spans="1:7" x14ac:dyDescent="0.3">
      <c r="A530" s="2">
        <v>45284</v>
      </c>
      <c r="B530" s="1">
        <v>30000</v>
      </c>
      <c r="C530" s="1" t="s">
        <v>33</v>
      </c>
      <c r="D530" s="1">
        <v>6275.93</v>
      </c>
      <c r="E530" s="1" t="s">
        <v>15</v>
      </c>
      <c r="F530" s="1" t="s">
        <v>16</v>
      </c>
      <c r="G530" s="1" t="s">
        <v>10</v>
      </c>
    </row>
    <row r="531" spans="1:7" x14ac:dyDescent="0.3">
      <c r="A531" s="2">
        <v>44943</v>
      </c>
      <c r="B531" s="1">
        <v>60000</v>
      </c>
      <c r="C531" s="1" t="s">
        <v>33</v>
      </c>
      <c r="D531" s="1">
        <v>4715.82</v>
      </c>
      <c r="E531" s="1" t="s">
        <v>8</v>
      </c>
      <c r="F531" s="1" t="s">
        <v>9</v>
      </c>
      <c r="G531" s="1" t="s">
        <v>19</v>
      </c>
    </row>
    <row r="532" spans="1:7" x14ac:dyDescent="0.3">
      <c r="A532" s="2">
        <v>45150</v>
      </c>
      <c r="B532" s="1">
        <v>60000</v>
      </c>
      <c r="C532" s="1" t="s">
        <v>33</v>
      </c>
      <c r="D532" s="1">
        <v>1506.25</v>
      </c>
      <c r="E532" s="1" t="s">
        <v>8</v>
      </c>
      <c r="F532" s="1" t="s">
        <v>26</v>
      </c>
      <c r="G532" s="1" t="s">
        <v>21</v>
      </c>
    </row>
    <row r="533" spans="1:7" x14ac:dyDescent="0.3">
      <c r="A533" s="2">
        <v>44956</v>
      </c>
      <c r="B533" s="1">
        <v>30000</v>
      </c>
      <c r="C533" s="1" t="s">
        <v>33</v>
      </c>
      <c r="D533" s="1">
        <v>9150.08</v>
      </c>
      <c r="E533" s="1" t="s">
        <v>15</v>
      </c>
      <c r="F533" s="1" t="s">
        <v>16</v>
      </c>
      <c r="G533" s="1" t="s">
        <v>19</v>
      </c>
    </row>
    <row r="534" spans="1:7" x14ac:dyDescent="0.3">
      <c r="A534" s="2">
        <v>45130</v>
      </c>
      <c r="B534" s="1">
        <v>60000</v>
      </c>
      <c r="C534" s="1" t="s">
        <v>33</v>
      </c>
      <c r="D534" s="1">
        <v>3549.37</v>
      </c>
      <c r="E534" s="1" t="s">
        <v>8</v>
      </c>
      <c r="F534" s="1" t="s">
        <v>11</v>
      </c>
      <c r="G534" s="1" t="s">
        <v>29</v>
      </c>
    </row>
    <row r="535" spans="1:7" x14ac:dyDescent="0.3">
      <c r="A535" s="2">
        <v>45057</v>
      </c>
      <c r="B535" s="1">
        <v>60000</v>
      </c>
      <c r="C535" s="1" t="s">
        <v>33</v>
      </c>
      <c r="D535" s="1">
        <v>8852.1299999999992</v>
      </c>
      <c r="E535" s="1" t="s">
        <v>8</v>
      </c>
      <c r="F535" s="1" t="s">
        <v>26</v>
      </c>
      <c r="G535" s="1" t="s">
        <v>17</v>
      </c>
    </row>
    <row r="536" spans="1:7" x14ac:dyDescent="0.3">
      <c r="A536" s="2">
        <v>45181</v>
      </c>
      <c r="B536" s="1">
        <v>40000</v>
      </c>
      <c r="C536" s="1" t="s">
        <v>33</v>
      </c>
      <c r="D536" s="1">
        <v>5764.07</v>
      </c>
      <c r="E536" s="1" t="s">
        <v>15</v>
      </c>
      <c r="F536" s="1" t="s">
        <v>16</v>
      </c>
      <c r="G536" s="1" t="s">
        <v>27</v>
      </c>
    </row>
    <row r="537" spans="1:7" x14ac:dyDescent="0.3">
      <c r="A537" s="2">
        <v>44998</v>
      </c>
      <c r="B537" s="1">
        <v>50000</v>
      </c>
      <c r="C537" s="1" t="s">
        <v>33</v>
      </c>
      <c r="D537" s="1">
        <v>4668.2700000000004</v>
      </c>
      <c r="E537" s="1" t="s">
        <v>15</v>
      </c>
      <c r="F537" s="1" t="s">
        <v>32</v>
      </c>
      <c r="G537" s="1" t="s">
        <v>12</v>
      </c>
    </row>
    <row r="538" spans="1:7" x14ac:dyDescent="0.3">
      <c r="A538" s="2">
        <v>45149</v>
      </c>
      <c r="B538" s="1">
        <v>80000</v>
      </c>
      <c r="C538" s="1" t="s">
        <v>33</v>
      </c>
      <c r="D538" s="1">
        <v>9232.19</v>
      </c>
      <c r="E538" s="1" t="s">
        <v>8</v>
      </c>
      <c r="F538" s="1" t="s">
        <v>22</v>
      </c>
      <c r="G538" s="1" t="s">
        <v>21</v>
      </c>
    </row>
    <row r="539" spans="1:7" x14ac:dyDescent="0.3">
      <c r="A539" s="2">
        <v>45010</v>
      </c>
      <c r="B539" s="1">
        <v>40000</v>
      </c>
      <c r="C539" s="1" t="s">
        <v>33</v>
      </c>
      <c r="D539" s="1">
        <v>2082.06</v>
      </c>
      <c r="E539" s="1" t="s">
        <v>15</v>
      </c>
      <c r="F539" s="1" t="s">
        <v>18</v>
      </c>
      <c r="G539" s="1" t="s">
        <v>12</v>
      </c>
    </row>
    <row r="540" spans="1:7" x14ac:dyDescent="0.3">
      <c r="A540" s="2">
        <v>45133</v>
      </c>
      <c r="B540" s="1">
        <v>80000</v>
      </c>
      <c r="C540" s="1" t="s">
        <v>33</v>
      </c>
      <c r="D540" s="1">
        <v>2733.34</v>
      </c>
      <c r="E540" s="1" t="s">
        <v>8</v>
      </c>
      <c r="F540" s="1" t="s">
        <v>9</v>
      </c>
      <c r="G540" s="1" t="s">
        <v>29</v>
      </c>
    </row>
    <row r="541" spans="1:7" x14ac:dyDescent="0.3">
      <c r="A541" s="2">
        <v>45136</v>
      </c>
      <c r="B541" s="1">
        <v>70000</v>
      </c>
      <c r="C541" s="1" t="s">
        <v>33</v>
      </c>
      <c r="D541" s="1">
        <v>8376.31</v>
      </c>
      <c r="E541" s="1" t="s">
        <v>15</v>
      </c>
      <c r="F541" s="1" t="s">
        <v>16</v>
      </c>
      <c r="G541" s="1" t="s">
        <v>29</v>
      </c>
    </row>
    <row r="542" spans="1:7" x14ac:dyDescent="0.3">
      <c r="A542" s="2">
        <v>45290</v>
      </c>
      <c r="B542" s="1">
        <v>70000</v>
      </c>
      <c r="C542" s="1" t="s">
        <v>33</v>
      </c>
      <c r="D542" s="1">
        <v>1038.43</v>
      </c>
      <c r="E542" s="1" t="s">
        <v>8</v>
      </c>
      <c r="F542" s="1" t="s">
        <v>9</v>
      </c>
      <c r="G542" s="1" t="s">
        <v>10</v>
      </c>
    </row>
    <row r="543" spans="1:7" x14ac:dyDescent="0.3">
      <c r="A543" s="2">
        <v>45031</v>
      </c>
      <c r="B543" s="1">
        <v>50000</v>
      </c>
      <c r="C543" s="1" t="s">
        <v>33</v>
      </c>
      <c r="D543" s="1">
        <v>2265.71</v>
      </c>
      <c r="E543" s="1" t="s">
        <v>15</v>
      </c>
      <c r="F543" s="1" t="s">
        <v>16</v>
      </c>
      <c r="G543" s="1" t="s">
        <v>30</v>
      </c>
    </row>
    <row r="544" spans="1:7" x14ac:dyDescent="0.3">
      <c r="A544" s="2">
        <v>45115</v>
      </c>
      <c r="B544" s="1">
        <v>40000</v>
      </c>
      <c r="C544" s="1" t="s">
        <v>33</v>
      </c>
      <c r="D544" s="1">
        <v>6996.68</v>
      </c>
      <c r="E544" s="1" t="s">
        <v>15</v>
      </c>
      <c r="F544" s="1" t="s">
        <v>18</v>
      </c>
      <c r="G544" s="1" t="s">
        <v>29</v>
      </c>
    </row>
    <row r="545" spans="1:7" x14ac:dyDescent="0.3">
      <c r="A545" s="2">
        <v>45235</v>
      </c>
      <c r="B545" s="1">
        <v>70000</v>
      </c>
      <c r="C545" s="1" t="s">
        <v>33</v>
      </c>
      <c r="D545" s="1">
        <v>1016.84</v>
      </c>
      <c r="E545" s="1" t="s">
        <v>8</v>
      </c>
      <c r="F545" s="1" t="s">
        <v>9</v>
      </c>
      <c r="G545" s="1" t="s">
        <v>31</v>
      </c>
    </row>
    <row r="546" spans="1:7" x14ac:dyDescent="0.3">
      <c r="A546" s="2">
        <v>45248</v>
      </c>
      <c r="B546" s="1">
        <v>120000</v>
      </c>
      <c r="C546" s="1" t="s">
        <v>33</v>
      </c>
      <c r="D546" s="1">
        <v>6152.18</v>
      </c>
      <c r="E546" s="1" t="s">
        <v>8</v>
      </c>
      <c r="F546" s="1" t="s">
        <v>26</v>
      </c>
      <c r="G546" s="1" t="s">
        <v>31</v>
      </c>
    </row>
    <row r="547" spans="1:7" x14ac:dyDescent="0.3">
      <c r="A547" s="2">
        <v>45240</v>
      </c>
      <c r="B547" s="1">
        <v>60000</v>
      </c>
      <c r="C547" s="1" t="s">
        <v>33</v>
      </c>
      <c r="D547" s="1">
        <v>8823.7800000000007</v>
      </c>
      <c r="E547" s="1" t="s">
        <v>8</v>
      </c>
      <c r="F547" s="1" t="s">
        <v>22</v>
      </c>
      <c r="G547" s="1" t="s">
        <v>31</v>
      </c>
    </row>
    <row r="548" spans="1:7" x14ac:dyDescent="0.3">
      <c r="A548" s="2">
        <v>45280</v>
      </c>
      <c r="B548" s="1">
        <v>60000</v>
      </c>
      <c r="C548" s="1" t="s">
        <v>33</v>
      </c>
      <c r="D548" s="1">
        <v>5146.6400000000003</v>
      </c>
      <c r="E548" s="1" t="s">
        <v>8</v>
      </c>
      <c r="F548" s="1" t="s">
        <v>13</v>
      </c>
      <c r="G548" s="1" t="s">
        <v>10</v>
      </c>
    </row>
    <row r="549" spans="1:7" x14ac:dyDescent="0.3">
      <c r="A549" s="2">
        <v>45076</v>
      </c>
      <c r="B549" s="1">
        <v>60000</v>
      </c>
      <c r="C549" s="1" t="s">
        <v>33</v>
      </c>
      <c r="D549" s="1">
        <v>4565.74</v>
      </c>
      <c r="E549" s="1" t="s">
        <v>15</v>
      </c>
      <c r="F549" s="1" t="s">
        <v>18</v>
      </c>
      <c r="G549" s="1" t="s">
        <v>17</v>
      </c>
    </row>
    <row r="550" spans="1:7" x14ac:dyDescent="0.3">
      <c r="A550" s="2">
        <v>45062</v>
      </c>
      <c r="B550" s="1">
        <v>80000</v>
      </c>
      <c r="C550" s="1" t="s">
        <v>33</v>
      </c>
      <c r="D550" s="1">
        <v>3446.9</v>
      </c>
      <c r="E550" s="1" t="s">
        <v>8</v>
      </c>
      <c r="F550" s="1" t="s">
        <v>22</v>
      </c>
      <c r="G550" s="1" t="s">
        <v>17</v>
      </c>
    </row>
    <row r="551" spans="1:7" x14ac:dyDescent="0.3">
      <c r="A551" s="2">
        <v>45052</v>
      </c>
      <c r="B551" s="1">
        <v>130000</v>
      </c>
      <c r="C551" s="1" t="s">
        <v>33</v>
      </c>
      <c r="D551" s="1">
        <v>3381.97</v>
      </c>
      <c r="E551" s="1" t="s">
        <v>8</v>
      </c>
      <c r="F551" s="1" t="s">
        <v>22</v>
      </c>
      <c r="G551" s="1" t="s">
        <v>17</v>
      </c>
    </row>
    <row r="552" spans="1:7" x14ac:dyDescent="0.3">
      <c r="A552" s="2">
        <v>45041</v>
      </c>
      <c r="B552" s="1">
        <v>70000</v>
      </c>
      <c r="C552" s="1" t="s">
        <v>14</v>
      </c>
      <c r="D552" s="1">
        <v>1321.86</v>
      </c>
      <c r="E552" s="1" t="s">
        <v>8</v>
      </c>
      <c r="F552" s="1" t="s">
        <v>9</v>
      </c>
      <c r="G552" s="1" t="s">
        <v>30</v>
      </c>
    </row>
    <row r="553" spans="1:7" x14ac:dyDescent="0.3">
      <c r="A553" s="2">
        <v>45213</v>
      </c>
      <c r="B553" s="1">
        <v>50000</v>
      </c>
      <c r="C553" s="1" t="s">
        <v>33</v>
      </c>
      <c r="D553" s="1">
        <v>907.81</v>
      </c>
      <c r="E553" s="1" t="s">
        <v>8</v>
      </c>
      <c r="F553" s="1" t="s">
        <v>11</v>
      </c>
      <c r="G553" s="1" t="s">
        <v>28</v>
      </c>
    </row>
    <row r="554" spans="1:7" x14ac:dyDescent="0.3">
      <c r="A554" s="2">
        <v>45220</v>
      </c>
      <c r="B554" s="1">
        <v>60000</v>
      </c>
      <c r="C554" s="1" t="s">
        <v>33</v>
      </c>
      <c r="D554" s="1">
        <v>5231.68</v>
      </c>
      <c r="E554" s="1" t="s">
        <v>8</v>
      </c>
      <c r="F554" s="1" t="s">
        <v>22</v>
      </c>
      <c r="G554" s="1" t="s">
        <v>28</v>
      </c>
    </row>
    <row r="555" spans="1:7" x14ac:dyDescent="0.3">
      <c r="A555" s="2">
        <v>45202</v>
      </c>
      <c r="B555" s="1">
        <v>40000</v>
      </c>
      <c r="C555" s="1" t="s">
        <v>33</v>
      </c>
      <c r="D555" s="1">
        <v>7470.31</v>
      </c>
      <c r="E555" s="1" t="s">
        <v>8</v>
      </c>
      <c r="F555" s="1" t="s">
        <v>26</v>
      </c>
      <c r="G555" s="1" t="s">
        <v>28</v>
      </c>
    </row>
    <row r="556" spans="1:7" x14ac:dyDescent="0.3">
      <c r="A556" s="2">
        <v>44965</v>
      </c>
      <c r="B556" s="1">
        <v>60000</v>
      </c>
      <c r="C556" s="1" t="s">
        <v>33</v>
      </c>
      <c r="D556" s="1">
        <v>632.99</v>
      </c>
      <c r="E556" s="1" t="s">
        <v>8</v>
      </c>
      <c r="F556" s="1" t="s">
        <v>22</v>
      </c>
      <c r="G556" s="1" t="s">
        <v>24</v>
      </c>
    </row>
    <row r="557" spans="1:7" x14ac:dyDescent="0.3">
      <c r="A557" s="2">
        <v>45082</v>
      </c>
      <c r="B557" s="1">
        <v>50000</v>
      </c>
      <c r="C557" s="1" t="s">
        <v>33</v>
      </c>
      <c r="D557" s="1">
        <v>4990.3100000000004</v>
      </c>
      <c r="E557" s="1" t="s">
        <v>8</v>
      </c>
      <c r="F557" s="1" t="s">
        <v>13</v>
      </c>
      <c r="G557" s="1" t="s">
        <v>23</v>
      </c>
    </row>
    <row r="558" spans="1:7" x14ac:dyDescent="0.3">
      <c r="A558" s="2">
        <v>44962</v>
      </c>
      <c r="B558" s="1">
        <v>80000</v>
      </c>
      <c r="C558" s="1" t="s">
        <v>33</v>
      </c>
      <c r="D558" s="1">
        <v>679.71</v>
      </c>
      <c r="E558" s="1" t="s">
        <v>8</v>
      </c>
      <c r="F558" s="1" t="s">
        <v>26</v>
      </c>
      <c r="G558" s="1" t="s">
        <v>24</v>
      </c>
    </row>
    <row r="559" spans="1:7" x14ac:dyDescent="0.3">
      <c r="A559" s="2">
        <v>45001</v>
      </c>
      <c r="B559" s="1">
        <v>40000</v>
      </c>
      <c r="C559" s="1" t="s">
        <v>33</v>
      </c>
      <c r="D559" s="1">
        <v>2211.38</v>
      </c>
      <c r="E559" s="1" t="s">
        <v>15</v>
      </c>
      <c r="F559" s="1" t="s">
        <v>16</v>
      </c>
      <c r="G559" s="1" t="s">
        <v>12</v>
      </c>
    </row>
    <row r="560" spans="1:7" x14ac:dyDescent="0.3">
      <c r="A560" s="2">
        <v>45061</v>
      </c>
      <c r="B560" s="1">
        <v>50000</v>
      </c>
      <c r="C560" s="1" t="s">
        <v>33</v>
      </c>
      <c r="D560" s="1">
        <v>5414.7</v>
      </c>
      <c r="E560" s="1" t="s">
        <v>15</v>
      </c>
      <c r="F560" s="1" t="s">
        <v>32</v>
      </c>
      <c r="G560" s="1" t="s">
        <v>17</v>
      </c>
    </row>
    <row r="561" spans="1:7" x14ac:dyDescent="0.3">
      <c r="A561" s="2">
        <v>45192</v>
      </c>
      <c r="B561" s="1">
        <v>60000</v>
      </c>
      <c r="C561" s="1" t="s">
        <v>33</v>
      </c>
      <c r="D561" s="1">
        <v>6508.61</v>
      </c>
      <c r="E561" s="1" t="s">
        <v>8</v>
      </c>
      <c r="F561" s="1" t="s">
        <v>13</v>
      </c>
      <c r="G561" s="1" t="s">
        <v>27</v>
      </c>
    </row>
    <row r="562" spans="1:7" x14ac:dyDescent="0.3">
      <c r="A562" s="2">
        <v>44988</v>
      </c>
      <c r="B562" s="1">
        <v>60000</v>
      </c>
      <c r="C562" s="1" t="s">
        <v>33</v>
      </c>
      <c r="D562" s="1">
        <v>7755.64</v>
      </c>
      <c r="E562" s="1" t="s">
        <v>8</v>
      </c>
      <c r="F562" s="1" t="s">
        <v>26</v>
      </c>
      <c r="G562" s="1" t="s">
        <v>12</v>
      </c>
    </row>
    <row r="563" spans="1:7" x14ac:dyDescent="0.3">
      <c r="A563" s="2">
        <v>45005</v>
      </c>
      <c r="B563" s="1">
        <v>20000</v>
      </c>
      <c r="C563" s="1" t="s">
        <v>33</v>
      </c>
      <c r="D563" s="1">
        <v>2839.16</v>
      </c>
      <c r="E563" s="1" t="s">
        <v>15</v>
      </c>
      <c r="F563" s="1" t="s">
        <v>16</v>
      </c>
      <c r="G563" s="1" t="s">
        <v>12</v>
      </c>
    </row>
    <row r="564" spans="1:7" x14ac:dyDescent="0.3">
      <c r="A564" s="2">
        <v>45241</v>
      </c>
      <c r="B564" s="1">
        <v>70000</v>
      </c>
      <c r="C564" s="1" t="s">
        <v>33</v>
      </c>
      <c r="D564" s="1">
        <v>7963.6</v>
      </c>
      <c r="E564" s="1" t="s">
        <v>8</v>
      </c>
      <c r="F564" s="1" t="s">
        <v>9</v>
      </c>
      <c r="G564" s="1" t="s">
        <v>31</v>
      </c>
    </row>
    <row r="565" spans="1:7" x14ac:dyDescent="0.3">
      <c r="A565" s="2">
        <v>45213</v>
      </c>
      <c r="B565" s="1">
        <v>30000</v>
      </c>
      <c r="C565" s="1" t="s">
        <v>33</v>
      </c>
      <c r="D565" s="1">
        <v>1316.04</v>
      </c>
      <c r="E565" s="1" t="s">
        <v>8</v>
      </c>
      <c r="F565" s="1" t="s">
        <v>22</v>
      </c>
      <c r="G565" s="1" t="s">
        <v>28</v>
      </c>
    </row>
    <row r="566" spans="1:7" x14ac:dyDescent="0.3">
      <c r="A566" s="2">
        <v>45132</v>
      </c>
      <c r="B566" s="1">
        <v>30000</v>
      </c>
      <c r="C566" s="1" t="s">
        <v>33</v>
      </c>
      <c r="D566" s="1">
        <v>4437.78</v>
      </c>
      <c r="E566" s="1" t="s">
        <v>8</v>
      </c>
      <c r="F566" s="1" t="s">
        <v>26</v>
      </c>
      <c r="G566" s="1" t="s">
        <v>29</v>
      </c>
    </row>
    <row r="567" spans="1:7" x14ac:dyDescent="0.3">
      <c r="A567" s="2">
        <v>45074</v>
      </c>
      <c r="B567" s="1">
        <v>40000</v>
      </c>
      <c r="C567" s="1" t="s">
        <v>33</v>
      </c>
      <c r="D567" s="1">
        <v>7437.41</v>
      </c>
      <c r="E567" s="1" t="s">
        <v>8</v>
      </c>
      <c r="F567" s="1" t="s">
        <v>11</v>
      </c>
      <c r="G567" s="1" t="s">
        <v>17</v>
      </c>
    </row>
    <row r="568" spans="1:7" x14ac:dyDescent="0.3">
      <c r="A568" s="2">
        <v>45117</v>
      </c>
      <c r="B568" s="1">
        <v>60000</v>
      </c>
      <c r="C568" s="1" t="s">
        <v>33</v>
      </c>
      <c r="D568" s="1">
        <v>1428.52</v>
      </c>
      <c r="E568" s="1" t="s">
        <v>8</v>
      </c>
      <c r="F568" s="1" t="s">
        <v>11</v>
      </c>
      <c r="G568" s="1" t="s">
        <v>29</v>
      </c>
    </row>
    <row r="569" spans="1:7" x14ac:dyDescent="0.3">
      <c r="A569" s="2">
        <v>45138</v>
      </c>
      <c r="B569" s="1">
        <v>40000</v>
      </c>
      <c r="C569" s="1" t="s">
        <v>33</v>
      </c>
      <c r="D569" s="1">
        <v>4096.97</v>
      </c>
      <c r="E569" s="1" t="s">
        <v>15</v>
      </c>
      <c r="F569" s="1" t="s">
        <v>16</v>
      </c>
      <c r="G569" s="1" t="s">
        <v>29</v>
      </c>
    </row>
    <row r="570" spans="1:7" x14ac:dyDescent="0.3">
      <c r="A570" s="2">
        <v>45283</v>
      </c>
      <c r="B570" s="1">
        <v>70000</v>
      </c>
      <c r="C570" s="1" t="s">
        <v>33</v>
      </c>
      <c r="D570" s="1">
        <v>7506.39</v>
      </c>
      <c r="E570" s="1" t="s">
        <v>8</v>
      </c>
      <c r="F570" s="1" t="s">
        <v>22</v>
      </c>
      <c r="G570" s="1" t="s">
        <v>10</v>
      </c>
    </row>
    <row r="571" spans="1:7" x14ac:dyDescent="0.3">
      <c r="A571" s="2">
        <v>44950</v>
      </c>
      <c r="B571" s="1">
        <v>50000</v>
      </c>
      <c r="C571" s="1" t="s">
        <v>33</v>
      </c>
      <c r="D571" s="1">
        <v>6230.18</v>
      </c>
      <c r="E571" s="1" t="s">
        <v>8</v>
      </c>
      <c r="F571" s="1" t="s">
        <v>9</v>
      </c>
      <c r="G571" s="1" t="s">
        <v>19</v>
      </c>
    </row>
    <row r="572" spans="1:7" x14ac:dyDescent="0.3">
      <c r="A572" s="2">
        <v>45008</v>
      </c>
      <c r="B572" s="1">
        <v>70000</v>
      </c>
      <c r="C572" s="1" t="s">
        <v>33</v>
      </c>
      <c r="D572" s="1">
        <v>9393.3700000000008</v>
      </c>
      <c r="E572" s="1" t="s">
        <v>8</v>
      </c>
      <c r="F572" s="1" t="s">
        <v>13</v>
      </c>
      <c r="G572" s="1" t="s">
        <v>12</v>
      </c>
    </row>
    <row r="573" spans="1:7" x14ac:dyDescent="0.3">
      <c r="A573" s="2">
        <v>45251</v>
      </c>
      <c r="B573" s="1">
        <v>40000</v>
      </c>
      <c r="C573" s="1" t="s">
        <v>33</v>
      </c>
      <c r="D573" s="1">
        <v>1842.88</v>
      </c>
      <c r="E573" s="1" t="s">
        <v>8</v>
      </c>
      <c r="F573" s="1" t="s">
        <v>11</v>
      </c>
      <c r="G573" s="1" t="s">
        <v>31</v>
      </c>
    </row>
    <row r="574" spans="1:7" x14ac:dyDescent="0.3">
      <c r="A574" s="2">
        <v>45056</v>
      </c>
      <c r="B574" s="1">
        <v>30000</v>
      </c>
      <c r="C574" s="1" t="s">
        <v>33</v>
      </c>
      <c r="D574" s="1">
        <v>2591.3000000000002</v>
      </c>
      <c r="E574" s="1" t="s">
        <v>8</v>
      </c>
      <c r="F574" s="1" t="s">
        <v>26</v>
      </c>
      <c r="G574" s="1" t="s">
        <v>17</v>
      </c>
    </row>
    <row r="575" spans="1:7" x14ac:dyDescent="0.3">
      <c r="A575" s="2">
        <v>45047</v>
      </c>
      <c r="B575" s="1">
        <v>60000</v>
      </c>
      <c r="C575" s="1" t="s">
        <v>33</v>
      </c>
      <c r="D575" s="1">
        <v>7522.86</v>
      </c>
      <c r="E575" s="1" t="s">
        <v>15</v>
      </c>
      <c r="F575" s="1" t="s">
        <v>25</v>
      </c>
      <c r="G575" s="1" t="s">
        <v>17</v>
      </c>
    </row>
    <row r="576" spans="1:7" x14ac:dyDescent="0.3">
      <c r="A576" s="2">
        <v>44970</v>
      </c>
      <c r="B576" s="1">
        <v>80000</v>
      </c>
      <c r="C576" s="1" t="s">
        <v>33</v>
      </c>
      <c r="D576" s="1">
        <v>9858.7999999999993</v>
      </c>
      <c r="E576" s="1" t="s">
        <v>8</v>
      </c>
      <c r="F576" s="1" t="s">
        <v>13</v>
      </c>
      <c r="G576" s="1" t="s">
        <v>24</v>
      </c>
    </row>
    <row r="577" spans="1:7" x14ac:dyDescent="0.3">
      <c r="A577" s="2">
        <v>45259</v>
      </c>
      <c r="B577" s="1">
        <v>60000</v>
      </c>
      <c r="C577" s="1" t="s">
        <v>33</v>
      </c>
      <c r="D577" s="1">
        <v>841.17</v>
      </c>
      <c r="E577" s="1" t="s">
        <v>8</v>
      </c>
      <c r="F577" s="1" t="s">
        <v>13</v>
      </c>
      <c r="G577" s="1" t="s">
        <v>31</v>
      </c>
    </row>
    <row r="578" spans="1:7" x14ac:dyDescent="0.3">
      <c r="A578" s="2">
        <v>45171</v>
      </c>
      <c r="B578" s="1">
        <v>40000</v>
      </c>
      <c r="C578" s="1" t="s">
        <v>33</v>
      </c>
      <c r="D578" s="1">
        <v>3156.13</v>
      </c>
      <c r="E578" s="1" t="s">
        <v>8</v>
      </c>
      <c r="F578" s="1" t="s">
        <v>22</v>
      </c>
      <c r="G578" s="1" t="s">
        <v>27</v>
      </c>
    </row>
    <row r="579" spans="1:7" x14ac:dyDescent="0.3">
      <c r="A579" s="2">
        <v>45000</v>
      </c>
      <c r="B579" s="1">
        <v>120000</v>
      </c>
      <c r="C579" s="1" t="s">
        <v>33</v>
      </c>
      <c r="D579" s="1">
        <v>9439.91</v>
      </c>
      <c r="E579" s="1" t="s">
        <v>8</v>
      </c>
      <c r="F579" s="1" t="s">
        <v>13</v>
      </c>
      <c r="G579" s="1" t="s">
        <v>12</v>
      </c>
    </row>
    <row r="580" spans="1:7" x14ac:dyDescent="0.3">
      <c r="A580" s="2">
        <v>45061</v>
      </c>
      <c r="B580" s="1">
        <v>60000</v>
      </c>
      <c r="C580" s="1" t="s">
        <v>33</v>
      </c>
      <c r="D580" s="1">
        <v>3185.22</v>
      </c>
      <c r="E580" s="1" t="s">
        <v>8</v>
      </c>
      <c r="F580" s="1" t="s">
        <v>9</v>
      </c>
      <c r="G580" s="1" t="s">
        <v>17</v>
      </c>
    </row>
    <row r="581" spans="1:7" x14ac:dyDescent="0.3">
      <c r="A581" s="2">
        <v>45259</v>
      </c>
      <c r="B581" s="1">
        <v>40000</v>
      </c>
      <c r="C581" s="1" t="s">
        <v>33</v>
      </c>
      <c r="D581" s="1">
        <v>9337.0400000000009</v>
      </c>
      <c r="E581" s="1" t="s">
        <v>15</v>
      </c>
      <c r="F581" s="1" t="s">
        <v>25</v>
      </c>
      <c r="G581" s="1" t="s">
        <v>31</v>
      </c>
    </row>
    <row r="582" spans="1:7" x14ac:dyDescent="0.3">
      <c r="A582" s="2">
        <v>45062</v>
      </c>
      <c r="B582" s="1">
        <v>60000</v>
      </c>
      <c r="C582" s="1" t="s">
        <v>33</v>
      </c>
      <c r="D582" s="1">
        <v>3619.92</v>
      </c>
      <c r="E582" s="1" t="s">
        <v>8</v>
      </c>
      <c r="F582" s="1" t="s">
        <v>26</v>
      </c>
      <c r="G582" s="1" t="s">
        <v>17</v>
      </c>
    </row>
    <row r="583" spans="1:7" x14ac:dyDescent="0.3">
      <c r="A583" s="2">
        <v>44950</v>
      </c>
      <c r="B583" s="1">
        <v>40000</v>
      </c>
      <c r="C583" s="1" t="s">
        <v>33</v>
      </c>
      <c r="D583" s="1">
        <v>7641.89</v>
      </c>
      <c r="E583" s="1" t="s">
        <v>15</v>
      </c>
      <c r="F583" s="1" t="s">
        <v>25</v>
      </c>
      <c r="G583" s="1" t="s">
        <v>19</v>
      </c>
    </row>
    <row r="584" spans="1:7" x14ac:dyDescent="0.3">
      <c r="A584" s="2">
        <v>45080</v>
      </c>
      <c r="B584" s="1">
        <v>80000</v>
      </c>
      <c r="C584" s="1" t="s">
        <v>33</v>
      </c>
      <c r="D584" s="1">
        <v>3244.2</v>
      </c>
      <c r="E584" s="1" t="s">
        <v>15</v>
      </c>
      <c r="F584" s="1" t="s">
        <v>16</v>
      </c>
      <c r="G584" s="1" t="s">
        <v>23</v>
      </c>
    </row>
    <row r="585" spans="1:7" x14ac:dyDescent="0.3">
      <c r="A585" s="2">
        <v>44982</v>
      </c>
      <c r="B585" s="1">
        <v>60000</v>
      </c>
      <c r="C585" s="1" t="s">
        <v>33</v>
      </c>
      <c r="D585" s="1">
        <v>7327.39</v>
      </c>
      <c r="E585" s="1" t="s">
        <v>8</v>
      </c>
      <c r="F585" s="1" t="s">
        <v>26</v>
      </c>
      <c r="G585" s="1" t="s">
        <v>24</v>
      </c>
    </row>
    <row r="586" spans="1:7" x14ac:dyDescent="0.3">
      <c r="A586" s="2">
        <v>45125</v>
      </c>
      <c r="B586" s="1">
        <v>70000</v>
      </c>
      <c r="C586" s="1" t="s">
        <v>33</v>
      </c>
      <c r="D586" s="1">
        <v>7792.7</v>
      </c>
      <c r="E586" s="1" t="s">
        <v>15</v>
      </c>
      <c r="F586" s="1" t="s">
        <v>25</v>
      </c>
      <c r="G586" s="1" t="s">
        <v>29</v>
      </c>
    </row>
    <row r="587" spans="1:7" x14ac:dyDescent="0.3">
      <c r="A587" s="2">
        <v>45034</v>
      </c>
      <c r="B587" s="1">
        <v>120000</v>
      </c>
      <c r="C587" s="1" t="s">
        <v>33</v>
      </c>
      <c r="D587" s="1">
        <v>1065.3699999999999</v>
      </c>
      <c r="E587" s="1" t="s">
        <v>8</v>
      </c>
      <c r="F587" s="1" t="s">
        <v>26</v>
      </c>
      <c r="G587" s="1" t="s">
        <v>30</v>
      </c>
    </row>
    <row r="588" spans="1:7" x14ac:dyDescent="0.3">
      <c r="A588" s="2">
        <v>45038</v>
      </c>
      <c r="B588" s="1">
        <v>60000</v>
      </c>
      <c r="C588" s="1" t="s">
        <v>33</v>
      </c>
      <c r="D588" s="1">
        <v>9268.77</v>
      </c>
      <c r="E588" s="1" t="s">
        <v>8</v>
      </c>
      <c r="F588" s="1" t="s">
        <v>13</v>
      </c>
      <c r="G588" s="1" t="s">
        <v>30</v>
      </c>
    </row>
    <row r="589" spans="1:7" x14ac:dyDescent="0.3">
      <c r="A589" s="2">
        <v>45240</v>
      </c>
      <c r="B589" s="1">
        <v>130000</v>
      </c>
      <c r="C589" s="1" t="s">
        <v>33</v>
      </c>
      <c r="D589" s="1">
        <v>6383.94</v>
      </c>
      <c r="E589" s="1" t="s">
        <v>15</v>
      </c>
      <c r="F589" s="1" t="s">
        <v>16</v>
      </c>
      <c r="G589" s="1" t="s">
        <v>31</v>
      </c>
    </row>
    <row r="590" spans="1:7" x14ac:dyDescent="0.3">
      <c r="A590" s="2">
        <v>45071</v>
      </c>
      <c r="B590" s="1">
        <v>90000</v>
      </c>
      <c r="C590" s="1" t="s">
        <v>33</v>
      </c>
      <c r="D590" s="1">
        <v>2222.94</v>
      </c>
      <c r="E590" s="1" t="s">
        <v>8</v>
      </c>
      <c r="F590" s="1" t="s">
        <v>13</v>
      </c>
      <c r="G590" s="1" t="s">
        <v>17</v>
      </c>
    </row>
    <row r="591" spans="1:7" x14ac:dyDescent="0.3">
      <c r="A591" s="2">
        <v>45216</v>
      </c>
      <c r="B591" s="1">
        <v>60000</v>
      </c>
      <c r="C591" s="1" t="s">
        <v>33</v>
      </c>
      <c r="D591" s="1">
        <v>7715.72</v>
      </c>
      <c r="E591" s="1" t="s">
        <v>8</v>
      </c>
      <c r="F591" s="1" t="s">
        <v>22</v>
      </c>
      <c r="G591" s="1" t="s">
        <v>28</v>
      </c>
    </row>
    <row r="592" spans="1:7" x14ac:dyDescent="0.3">
      <c r="A592" s="2">
        <v>45225</v>
      </c>
      <c r="B592" s="1">
        <v>60000</v>
      </c>
      <c r="C592" s="1" t="s">
        <v>33</v>
      </c>
      <c r="D592" s="1">
        <v>2675.95</v>
      </c>
      <c r="E592" s="1" t="s">
        <v>8</v>
      </c>
      <c r="F592" s="1" t="s">
        <v>9</v>
      </c>
      <c r="G592" s="1" t="s">
        <v>28</v>
      </c>
    </row>
    <row r="593" spans="1:7" x14ac:dyDescent="0.3">
      <c r="A593" s="2">
        <v>44965</v>
      </c>
      <c r="B593" s="1">
        <v>40000</v>
      </c>
      <c r="C593" s="1" t="s">
        <v>33</v>
      </c>
      <c r="D593" s="1">
        <v>5487.38</v>
      </c>
      <c r="E593" s="1" t="s">
        <v>15</v>
      </c>
      <c r="F593" s="1" t="s">
        <v>18</v>
      </c>
      <c r="G593" s="1" t="s">
        <v>24</v>
      </c>
    </row>
    <row r="594" spans="1:7" x14ac:dyDescent="0.3">
      <c r="A594" s="2">
        <v>45185</v>
      </c>
      <c r="B594" s="1">
        <v>80000</v>
      </c>
      <c r="C594" s="1" t="s">
        <v>33</v>
      </c>
      <c r="D594" s="1">
        <v>5106.37</v>
      </c>
      <c r="E594" s="1" t="s">
        <v>15</v>
      </c>
      <c r="F594" s="1" t="s">
        <v>32</v>
      </c>
      <c r="G594" s="1" t="s">
        <v>27</v>
      </c>
    </row>
    <row r="595" spans="1:7" x14ac:dyDescent="0.3">
      <c r="A595" s="2">
        <v>45091</v>
      </c>
      <c r="B595" s="1">
        <v>70000</v>
      </c>
      <c r="C595" s="1" t="s">
        <v>33</v>
      </c>
      <c r="D595" s="1">
        <v>7867.89</v>
      </c>
      <c r="E595" s="1" t="s">
        <v>15</v>
      </c>
      <c r="F595" s="1" t="s">
        <v>20</v>
      </c>
      <c r="G595" s="1" t="s">
        <v>23</v>
      </c>
    </row>
    <row r="596" spans="1:7" x14ac:dyDescent="0.3">
      <c r="A596" s="2">
        <v>45228</v>
      </c>
      <c r="B596" s="1">
        <v>80000</v>
      </c>
      <c r="C596" s="1" t="s">
        <v>33</v>
      </c>
      <c r="D596" s="1">
        <v>5151.3900000000003</v>
      </c>
      <c r="E596" s="1" t="s">
        <v>15</v>
      </c>
      <c r="F596" s="1" t="s">
        <v>20</v>
      </c>
      <c r="G596" s="1" t="s">
        <v>28</v>
      </c>
    </row>
    <row r="597" spans="1:7" x14ac:dyDescent="0.3">
      <c r="A597" s="2">
        <v>45262</v>
      </c>
      <c r="B597" s="1">
        <v>20000</v>
      </c>
      <c r="C597" s="1" t="s">
        <v>33</v>
      </c>
      <c r="D597" s="1">
        <v>3933.72</v>
      </c>
      <c r="E597" s="1" t="s">
        <v>15</v>
      </c>
      <c r="F597" s="1" t="s">
        <v>16</v>
      </c>
      <c r="G597" s="1" t="s">
        <v>10</v>
      </c>
    </row>
    <row r="598" spans="1:7" x14ac:dyDescent="0.3">
      <c r="A598" s="2">
        <v>45218</v>
      </c>
      <c r="B598" s="1">
        <v>90000</v>
      </c>
      <c r="C598" s="1" t="s">
        <v>33</v>
      </c>
      <c r="D598" s="1">
        <v>6246.19</v>
      </c>
      <c r="E598" s="1" t="s">
        <v>15</v>
      </c>
      <c r="F598" s="1" t="s">
        <v>18</v>
      </c>
      <c r="G598" s="1" t="s">
        <v>28</v>
      </c>
    </row>
    <row r="599" spans="1:7" x14ac:dyDescent="0.3">
      <c r="A599" s="2">
        <v>45175</v>
      </c>
      <c r="B599" s="1">
        <v>40000</v>
      </c>
      <c r="C599" s="1" t="s">
        <v>33</v>
      </c>
      <c r="D599" s="1">
        <v>9775.74</v>
      </c>
      <c r="E599" s="1" t="s">
        <v>8</v>
      </c>
      <c r="F599" s="1" t="s">
        <v>11</v>
      </c>
      <c r="G599" s="1" t="s">
        <v>27</v>
      </c>
    </row>
    <row r="600" spans="1:7" x14ac:dyDescent="0.3">
      <c r="A600" s="2">
        <v>45247</v>
      </c>
      <c r="B600" s="1">
        <v>130000</v>
      </c>
      <c r="C600" s="1" t="s">
        <v>33</v>
      </c>
      <c r="D600" s="1">
        <v>3998.09</v>
      </c>
      <c r="E600" s="1" t="s">
        <v>15</v>
      </c>
      <c r="F600" s="1" t="s">
        <v>16</v>
      </c>
      <c r="G600" s="1" t="s">
        <v>31</v>
      </c>
    </row>
    <row r="601" spans="1:7" x14ac:dyDescent="0.3">
      <c r="A601" s="2">
        <v>44965</v>
      </c>
      <c r="B601" s="1">
        <v>60000</v>
      </c>
      <c r="C601" s="1" t="s">
        <v>33</v>
      </c>
      <c r="D601" s="1">
        <v>325.22000000000003</v>
      </c>
      <c r="E601" s="1" t="s">
        <v>8</v>
      </c>
      <c r="F601" s="1" t="s">
        <v>9</v>
      </c>
      <c r="G601" s="1" t="s">
        <v>24</v>
      </c>
    </row>
    <row r="602" spans="1:7" x14ac:dyDescent="0.3">
      <c r="A602" s="2">
        <v>45178</v>
      </c>
      <c r="B602" s="1">
        <v>30000</v>
      </c>
      <c r="C602" s="1" t="s">
        <v>33</v>
      </c>
      <c r="D602" s="1">
        <v>171.12</v>
      </c>
      <c r="E602" s="1" t="s">
        <v>15</v>
      </c>
      <c r="F602" s="1" t="s">
        <v>20</v>
      </c>
      <c r="G602" s="1" t="s">
        <v>27</v>
      </c>
    </row>
    <row r="603" spans="1:7" x14ac:dyDescent="0.3">
      <c r="A603" s="2">
        <v>45286</v>
      </c>
      <c r="B603" s="1">
        <v>80000</v>
      </c>
      <c r="C603" s="1" t="s">
        <v>33</v>
      </c>
      <c r="D603" s="1">
        <v>7738.81</v>
      </c>
      <c r="E603" s="1" t="s">
        <v>15</v>
      </c>
      <c r="F603" s="1" t="s">
        <v>25</v>
      </c>
      <c r="G603" s="1" t="s">
        <v>10</v>
      </c>
    </row>
    <row r="604" spans="1:7" x14ac:dyDescent="0.3">
      <c r="A604" s="2">
        <v>45106</v>
      </c>
      <c r="B604" s="1">
        <v>60000</v>
      </c>
      <c r="C604" s="1" t="s">
        <v>33</v>
      </c>
      <c r="D604" s="1">
        <v>6645.62</v>
      </c>
      <c r="E604" s="1" t="s">
        <v>8</v>
      </c>
      <c r="F604" s="1" t="s">
        <v>9</v>
      </c>
      <c r="G604" s="1" t="s">
        <v>23</v>
      </c>
    </row>
    <row r="605" spans="1:7" x14ac:dyDescent="0.3">
      <c r="A605" s="2">
        <v>45003</v>
      </c>
      <c r="B605" s="1">
        <v>60000</v>
      </c>
      <c r="C605" s="1" t="s">
        <v>33</v>
      </c>
      <c r="D605" s="1">
        <v>297.45999999999998</v>
      </c>
      <c r="E605" s="1" t="s">
        <v>8</v>
      </c>
      <c r="F605" s="1" t="s">
        <v>11</v>
      </c>
      <c r="G605" s="1" t="s">
        <v>12</v>
      </c>
    </row>
    <row r="606" spans="1:7" x14ac:dyDescent="0.3">
      <c r="A606" s="2">
        <v>45132</v>
      </c>
      <c r="B606" s="1">
        <v>40000</v>
      </c>
      <c r="C606" s="1" t="s">
        <v>33</v>
      </c>
      <c r="D606" s="1">
        <v>6318.35</v>
      </c>
      <c r="E606" s="1" t="s">
        <v>15</v>
      </c>
      <c r="F606" s="1" t="s">
        <v>32</v>
      </c>
      <c r="G606" s="1" t="s">
        <v>29</v>
      </c>
    </row>
    <row r="607" spans="1:7" x14ac:dyDescent="0.3">
      <c r="A607" s="2">
        <v>45062</v>
      </c>
      <c r="B607" s="1">
        <v>70000</v>
      </c>
      <c r="C607" s="1" t="s">
        <v>33</v>
      </c>
      <c r="D607" s="1">
        <v>9373.14</v>
      </c>
      <c r="E607" s="1" t="s">
        <v>8</v>
      </c>
      <c r="F607" s="1" t="s">
        <v>11</v>
      </c>
      <c r="G607" s="1" t="s">
        <v>17</v>
      </c>
    </row>
    <row r="608" spans="1:7" x14ac:dyDescent="0.3">
      <c r="A608" s="2">
        <v>45280</v>
      </c>
      <c r="B608" s="1">
        <v>40000</v>
      </c>
      <c r="C608" s="1" t="s">
        <v>33</v>
      </c>
      <c r="D608" s="1">
        <v>8355.0499999999993</v>
      </c>
      <c r="E608" s="1" t="s">
        <v>15</v>
      </c>
      <c r="F608" s="1" t="s">
        <v>32</v>
      </c>
      <c r="G608" s="1" t="s">
        <v>10</v>
      </c>
    </row>
    <row r="609" spans="1:7" x14ac:dyDescent="0.3">
      <c r="A609" s="2">
        <v>44936</v>
      </c>
      <c r="B609" s="1">
        <v>70000</v>
      </c>
      <c r="C609" s="1" t="s">
        <v>33</v>
      </c>
      <c r="D609" s="1">
        <v>9938.58</v>
      </c>
      <c r="E609" s="1" t="s">
        <v>15</v>
      </c>
      <c r="F609" s="1" t="s">
        <v>20</v>
      </c>
      <c r="G609" s="1" t="s">
        <v>19</v>
      </c>
    </row>
    <row r="610" spans="1:7" x14ac:dyDescent="0.3">
      <c r="A610" s="2">
        <v>45117</v>
      </c>
      <c r="B610" s="1">
        <v>60000</v>
      </c>
      <c r="C610" s="1" t="s">
        <v>33</v>
      </c>
      <c r="D610" s="1">
        <v>4435.04</v>
      </c>
      <c r="E610" s="1" t="s">
        <v>15</v>
      </c>
      <c r="F610" s="1" t="s">
        <v>20</v>
      </c>
      <c r="G610" s="1" t="s">
        <v>29</v>
      </c>
    </row>
    <row r="611" spans="1:7" x14ac:dyDescent="0.3">
      <c r="A611" s="2">
        <v>44935</v>
      </c>
      <c r="B611" s="1">
        <v>70000</v>
      </c>
      <c r="C611" s="1" t="s">
        <v>33</v>
      </c>
      <c r="D611" s="1">
        <v>2566.37</v>
      </c>
      <c r="E611" s="1" t="s">
        <v>15</v>
      </c>
      <c r="F611" s="1" t="s">
        <v>20</v>
      </c>
      <c r="G611" s="1" t="s">
        <v>19</v>
      </c>
    </row>
    <row r="612" spans="1:7" x14ac:dyDescent="0.3">
      <c r="A612" s="2">
        <v>44954</v>
      </c>
      <c r="B612" s="1">
        <v>60000</v>
      </c>
      <c r="C612" s="1" t="s">
        <v>33</v>
      </c>
      <c r="D612" s="1">
        <v>5842.19</v>
      </c>
      <c r="E612" s="1" t="s">
        <v>8</v>
      </c>
      <c r="F612" s="1" t="s">
        <v>11</v>
      </c>
      <c r="G612" s="1" t="s">
        <v>19</v>
      </c>
    </row>
    <row r="613" spans="1:7" x14ac:dyDescent="0.3">
      <c r="A613" s="2">
        <v>45041</v>
      </c>
      <c r="B613" s="1">
        <v>80000</v>
      </c>
      <c r="C613" s="1" t="s">
        <v>33</v>
      </c>
      <c r="D613" s="1">
        <v>7603.43</v>
      </c>
      <c r="E613" s="1" t="s">
        <v>8</v>
      </c>
      <c r="F613" s="1" t="s">
        <v>9</v>
      </c>
      <c r="G613" s="1" t="s">
        <v>30</v>
      </c>
    </row>
    <row r="614" spans="1:7" x14ac:dyDescent="0.3">
      <c r="A614" s="2">
        <v>45208</v>
      </c>
      <c r="B614" s="1">
        <v>30000</v>
      </c>
      <c r="C614" s="1" t="s">
        <v>33</v>
      </c>
      <c r="D614" s="1">
        <v>3463.69</v>
      </c>
      <c r="E614" s="1" t="s">
        <v>8</v>
      </c>
      <c r="F614" s="1" t="s">
        <v>11</v>
      </c>
      <c r="G614" s="1" t="s">
        <v>28</v>
      </c>
    </row>
    <row r="615" spans="1:7" x14ac:dyDescent="0.3">
      <c r="A615" s="2">
        <v>45142</v>
      </c>
      <c r="B615" s="1">
        <v>110000</v>
      </c>
      <c r="C615" s="1" t="s">
        <v>33</v>
      </c>
      <c r="D615" s="1">
        <v>3538.3</v>
      </c>
      <c r="E615" s="1" t="s">
        <v>15</v>
      </c>
      <c r="F615" s="1" t="s">
        <v>32</v>
      </c>
      <c r="G615" s="1" t="s">
        <v>21</v>
      </c>
    </row>
    <row r="616" spans="1:7" x14ac:dyDescent="0.3">
      <c r="A616" s="2">
        <v>45032</v>
      </c>
      <c r="B616" s="1">
        <v>100000</v>
      </c>
      <c r="C616" s="1" t="s">
        <v>33</v>
      </c>
      <c r="D616" s="1">
        <v>8739.49</v>
      </c>
      <c r="E616" s="1" t="s">
        <v>15</v>
      </c>
      <c r="F616" s="1" t="s">
        <v>18</v>
      </c>
      <c r="G616" s="1" t="s">
        <v>30</v>
      </c>
    </row>
    <row r="617" spans="1:7" x14ac:dyDescent="0.3">
      <c r="A617" s="2">
        <v>45264</v>
      </c>
      <c r="B617" s="1">
        <v>60000</v>
      </c>
      <c r="C617" s="1" t="s">
        <v>33</v>
      </c>
      <c r="D617" s="1">
        <v>5077.3599999999997</v>
      </c>
      <c r="E617" s="1" t="s">
        <v>8</v>
      </c>
      <c r="F617" s="1" t="s">
        <v>22</v>
      </c>
      <c r="G617" s="1" t="s">
        <v>10</v>
      </c>
    </row>
    <row r="618" spans="1:7" x14ac:dyDescent="0.3">
      <c r="A618" s="2">
        <v>45131</v>
      </c>
      <c r="B618" s="1">
        <v>80000</v>
      </c>
      <c r="C618" s="1" t="s">
        <v>33</v>
      </c>
      <c r="D618" s="1">
        <v>1429.83</v>
      </c>
      <c r="E618" s="1" t="s">
        <v>15</v>
      </c>
      <c r="F618" s="1" t="s">
        <v>16</v>
      </c>
      <c r="G618" s="1" t="s">
        <v>29</v>
      </c>
    </row>
    <row r="619" spans="1:7" x14ac:dyDescent="0.3">
      <c r="A619" s="2">
        <v>45029</v>
      </c>
      <c r="B619" s="1">
        <v>40000</v>
      </c>
      <c r="C619" s="1" t="s">
        <v>33</v>
      </c>
      <c r="D619" s="1">
        <v>3909.99</v>
      </c>
      <c r="E619" s="1" t="s">
        <v>15</v>
      </c>
      <c r="F619" s="1" t="s">
        <v>32</v>
      </c>
      <c r="G619" s="1" t="s">
        <v>30</v>
      </c>
    </row>
    <row r="620" spans="1:7" x14ac:dyDescent="0.3">
      <c r="A620" s="2">
        <v>45282</v>
      </c>
      <c r="B620" s="1">
        <v>20000</v>
      </c>
      <c r="C620" s="1" t="s">
        <v>33</v>
      </c>
      <c r="D620" s="1">
        <v>5905.59</v>
      </c>
      <c r="E620" s="1" t="s">
        <v>15</v>
      </c>
      <c r="F620" s="1" t="s">
        <v>16</v>
      </c>
      <c r="G620" s="1" t="s">
        <v>10</v>
      </c>
    </row>
    <row r="621" spans="1:7" x14ac:dyDescent="0.3">
      <c r="A621" s="2">
        <v>44967</v>
      </c>
      <c r="B621" s="1">
        <v>40000</v>
      </c>
      <c r="C621" s="1" t="s">
        <v>33</v>
      </c>
      <c r="D621" s="1">
        <v>6182.57</v>
      </c>
      <c r="E621" s="1" t="s">
        <v>15</v>
      </c>
      <c r="F621" s="1" t="s">
        <v>20</v>
      </c>
      <c r="G621" s="1" t="s">
        <v>24</v>
      </c>
    </row>
    <row r="622" spans="1:7" x14ac:dyDescent="0.3">
      <c r="A622" s="2">
        <v>45159</v>
      </c>
      <c r="B622" s="1">
        <v>100000</v>
      </c>
      <c r="C622" s="1" t="s">
        <v>33</v>
      </c>
      <c r="D622" s="1">
        <v>4215.58</v>
      </c>
      <c r="E622" s="1" t="s">
        <v>15</v>
      </c>
      <c r="F622" s="1" t="s">
        <v>18</v>
      </c>
      <c r="G622" s="1" t="s">
        <v>21</v>
      </c>
    </row>
    <row r="623" spans="1:7" x14ac:dyDescent="0.3">
      <c r="A623" s="2">
        <v>45215</v>
      </c>
      <c r="B623" s="1">
        <v>70000</v>
      </c>
      <c r="C623" s="1" t="s">
        <v>33</v>
      </c>
      <c r="D623" s="1">
        <v>7452.36</v>
      </c>
      <c r="E623" s="1" t="s">
        <v>15</v>
      </c>
      <c r="F623" s="1" t="s">
        <v>25</v>
      </c>
      <c r="G623" s="1" t="s">
        <v>28</v>
      </c>
    </row>
    <row r="624" spans="1:7" x14ac:dyDescent="0.3">
      <c r="A624" s="2">
        <v>45195</v>
      </c>
      <c r="B624" s="1">
        <v>60000</v>
      </c>
      <c r="C624" s="1" t="s">
        <v>33</v>
      </c>
      <c r="D624" s="1">
        <v>6793.02</v>
      </c>
      <c r="E624" s="1" t="s">
        <v>15</v>
      </c>
      <c r="F624" s="1" t="s">
        <v>18</v>
      </c>
      <c r="G624" s="1" t="s">
        <v>27</v>
      </c>
    </row>
    <row r="625" spans="1:7" x14ac:dyDescent="0.3">
      <c r="A625" s="2">
        <v>45056</v>
      </c>
      <c r="B625" s="1">
        <v>70000</v>
      </c>
      <c r="C625" s="1" t="s">
        <v>33</v>
      </c>
      <c r="D625" s="1">
        <v>5398.64</v>
      </c>
      <c r="E625" s="1" t="s">
        <v>15</v>
      </c>
      <c r="F625" s="1" t="s">
        <v>16</v>
      </c>
      <c r="G625" s="1" t="s">
        <v>17</v>
      </c>
    </row>
    <row r="626" spans="1:7" x14ac:dyDescent="0.3">
      <c r="A626" s="2">
        <v>44992</v>
      </c>
      <c r="B626" s="1">
        <v>70000</v>
      </c>
      <c r="C626" s="1" t="s">
        <v>33</v>
      </c>
      <c r="D626" s="1">
        <v>738.48</v>
      </c>
      <c r="E626" s="1" t="s">
        <v>8</v>
      </c>
      <c r="F626" s="1" t="s">
        <v>13</v>
      </c>
      <c r="G626" s="1" t="s">
        <v>12</v>
      </c>
    </row>
    <row r="627" spans="1:7" x14ac:dyDescent="0.3">
      <c r="A627" s="2">
        <v>45219</v>
      </c>
      <c r="B627" s="1">
        <v>60000</v>
      </c>
      <c r="C627" s="1" t="s">
        <v>33</v>
      </c>
      <c r="D627" s="1">
        <v>7072.02</v>
      </c>
      <c r="E627" s="1" t="s">
        <v>15</v>
      </c>
      <c r="F627" s="1" t="s">
        <v>18</v>
      </c>
      <c r="G627" s="1" t="s">
        <v>28</v>
      </c>
    </row>
    <row r="628" spans="1:7" x14ac:dyDescent="0.3">
      <c r="A628" s="2">
        <v>45212</v>
      </c>
      <c r="B628" s="1">
        <v>60000</v>
      </c>
      <c r="C628" s="1" t="s">
        <v>33</v>
      </c>
      <c r="D628" s="1">
        <v>4292.3500000000004</v>
      </c>
      <c r="E628" s="1" t="s">
        <v>15</v>
      </c>
      <c r="F628" s="1" t="s">
        <v>20</v>
      </c>
      <c r="G628" s="1" t="s">
        <v>28</v>
      </c>
    </row>
    <row r="629" spans="1:7" x14ac:dyDescent="0.3">
      <c r="A629" s="2">
        <v>44961</v>
      </c>
      <c r="B629" s="1">
        <v>60000</v>
      </c>
      <c r="C629" s="1" t="s">
        <v>33</v>
      </c>
      <c r="D629" s="1">
        <v>3581.92</v>
      </c>
      <c r="E629" s="1" t="s">
        <v>15</v>
      </c>
      <c r="F629" s="1" t="s">
        <v>20</v>
      </c>
      <c r="G629" s="1" t="s">
        <v>24</v>
      </c>
    </row>
    <row r="630" spans="1:7" x14ac:dyDescent="0.3">
      <c r="A630" s="2">
        <v>45175</v>
      </c>
      <c r="B630" s="1">
        <v>80000</v>
      </c>
      <c r="C630" s="1" t="s">
        <v>33</v>
      </c>
      <c r="D630" s="1">
        <v>9915.7999999999993</v>
      </c>
      <c r="E630" s="1" t="s">
        <v>8</v>
      </c>
      <c r="F630" s="1" t="s">
        <v>26</v>
      </c>
      <c r="G630" s="1" t="s">
        <v>27</v>
      </c>
    </row>
    <row r="631" spans="1:7" x14ac:dyDescent="0.3">
      <c r="A631" s="2">
        <v>45160</v>
      </c>
      <c r="B631" s="1">
        <v>50000</v>
      </c>
      <c r="C631" s="1" t="s">
        <v>33</v>
      </c>
      <c r="D631" s="1">
        <v>5905.49</v>
      </c>
      <c r="E631" s="1" t="s">
        <v>15</v>
      </c>
      <c r="F631" s="1" t="s">
        <v>16</v>
      </c>
      <c r="G631" s="1" t="s">
        <v>21</v>
      </c>
    </row>
    <row r="632" spans="1:7" x14ac:dyDescent="0.3">
      <c r="A632" s="2">
        <v>45039</v>
      </c>
      <c r="B632" s="1">
        <v>40000</v>
      </c>
      <c r="C632" s="1" t="s">
        <v>33</v>
      </c>
      <c r="D632" s="1">
        <v>2419.14</v>
      </c>
      <c r="E632" s="1" t="s">
        <v>15</v>
      </c>
      <c r="F632" s="1" t="s">
        <v>25</v>
      </c>
      <c r="G632" s="1" t="s">
        <v>30</v>
      </c>
    </row>
    <row r="633" spans="1:7" x14ac:dyDescent="0.3">
      <c r="A633" s="2">
        <v>44945</v>
      </c>
      <c r="B633" s="1">
        <v>70000</v>
      </c>
      <c r="C633" s="1" t="s">
        <v>33</v>
      </c>
      <c r="D633" s="1">
        <v>4674.28</v>
      </c>
      <c r="E633" s="1" t="s">
        <v>8</v>
      </c>
      <c r="F633" s="1" t="s">
        <v>26</v>
      </c>
      <c r="G633" s="1" t="s">
        <v>19</v>
      </c>
    </row>
    <row r="634" spans="1:7" x14ac:dyDescent="0.3">
      <c r="A634" s="2">
        <v>44997</v>
      </c>
      <c r="B634" s="1">
        <v>80000</v>
      </c>
      <c r="C634" s="1" t="s">
        <v>33</v>
      </c>
      <c r="D634" s="1">
        <v>3908.1</v>
      </c>
      <c r="E634" s="1" t="s">
        <v>15</v>
      </c>
      <c r="F634" s="1" t="s">
        <v>32</v>
      </c>
      <c r="G634" s="1" t="s">
        <v>12</v>
      </c>
    </row>
    <row r="635" spans="1:7" x14ac:dyDescent="0.3">
      <c r="A635" s="2">
        <v>45218</v>
      </c>
      <c r="B635" s="1">
        <v>130000</v>
      </c>
      <c r="C635" s="1" t="s">
        <v>33</v>
      </c>
      <c r="D635" s="1">
        <v>653.73</v>
      </c>
      <c r="E635" s="1" t="s">
        <v>8</v>
      </c>
      <c r="F635" s="1" t="s">
        <v>26</v>
      </c>
      <c r="G635" s="1" t="s">
        <v>28</v>
      </c>
    </row>
    <row r="636" spans="1:7" x14ac:dyDescent="0.3">
      <c r="A636" s="2">
        <v>45288</v>
      </c>
      <c r="B636" s="1">
        <v>60000</v>
      </c>
      <c r="C636" s="1" t="s">
        <v>33</v>
      </c>
      <c r="D636" s="1">
        <v>8901.8700000000008</v>
      </c>
      <c r="E636" s="1" t="s">
        <v>15</v>
      </c>
      <c r="F636" s="1" t="s">
        <v>18</v>
      </c>
      <c r="G636" s="1" t="s">
        <v>10</v>
      </c>
    </row>
    <row r="637" spans="1:7" x14ac:dyDescent="0.3">
      <c r="A637" s="2">
        <v>45283</v>
      </c>
      <c r="B637" s="1">
        <v>30000</v>
      </c>
      <c r="C637" s="1" t="s">
        <v>33</v>
      </c>
      <c r="D637" s="1">
        <v>6632.57</v>
      </c>
      <c r="E637" s="1" t="s">
        <v>8</v>
      </c>
      <c r="F637" s="1" t="s">
        <v>11</v>
      </c>
      <c r="G637" s="1" t="s">
        <v>10</v>
      </c>
    </row>
    <row r="638" spans="1:7" x14ac:dyDescent="0.3">
      <c r="A638" s="2">
        <v>45105</v>
      </c>
      <c r="B638" s="1">
        <v>120000</v>
      </c>
      <c r="C638" s="1" t="s">
        <v>33</v>
      </c>
      <c r="D638" s="1">
        <v>1968.67</v>
      </c>
      <c r="E638" s="1" t="s">
        <v>15</v>
      </c>
      <c r="F638" s="1" t="s">
        <v>18</v>
      </c>
      <c r="G638" s="1" t="s">
        <v>23</v>
      </c>
    </row>
    <row r="639" spans="1:7" x14ac:dyDescent="0.3">
      <c r="A639" s="2">
        <v>45036</v>
      </c>
      <c r="B639" s="1">
        <v>40000</v>
      </c>
      <c r="C639" s="1" t="s">
        <v>33</v>
      </c>
      <c r="D639" s="1">
        <v>1758.34</v>
      </c>
      <c r="E639" s="1" t="s">
        <v>15</v>
      </c>
      <c r="F639" s="1" t="s">
        <v>20</v>
      </c>
      <c r="G639" s="1" t="s">
        <v>30</v>
      </c>
    </row>
    <row r="640" spans="1:7" x14ac:dyDescent="0.3">
      <c r="A640" s="2">
        <v>44938</v>
      </c>
      <c r="B640" s="1">
        <v>70000</v>
      </c>
      <c r="C640" s="1" t="s">
        <v>33</v>
      </c>
      <c r="D640" s="1">
        <v>1169.42</v>
      </c>
      <c r="E640" s="1" t="s">
        <v>15</v>
      </c>
      <c r="F640" s="1" t="s">
        <v>20</v>
      </c>
      <c r="G640" s="1" t="s">
        <v>19</v>
      </c>
    </row>
    <row r="641" spans="1:7" x14ac:dyDescent="0.3">
      <c r="A641" s="2">
        <v>44966</v>
      </c>
      <c r="B641" s="1">
        <v>100000</v>
      </c>
      <c r="C641" s="1" t="s">
        <v>33</v>
      </c>
      <c r="D641" s="1">
        <v>5697.88</v>
      </c>
      <c r="E641" s="1" t="s">
        <v>8</v>
      </c>
      <c r="F641" s="1" t="s">
        <v>22</v>
      </c>
      <c r="G641" s="1" t="s">
        <v>24</v>
      </c>
    </row>
    <row r="642" spans="1:7" x14ac:dyDescent="0.3">
      <c r="A642" s="2">
        <v>45180</v>
      </c>
      <c r="B642" s="1">
        <v>60000</v>
      </c>
      <c r="C642" s="1" t="s">
        <v>33</v>
      </c>
      <c r="D642" s="1">
        <v>8988.73</v>
      </c>
      <c r="E642" s="1" t="s">
        <v>8</v>
      </c>
      <c r="F642" s="1" t="s">
        <v>13</v>
      </c>
      <c r="G642" s="1" t="s">
        <v>27</v>
      </c>
    </row>
    <row r="643" spans="1:7" x14ac:dyDescent="0.3">
      <c r="A643" s="2">
        <v>45078</v>
      </c>
      <c r="B643" s="1">
        <v>50000</v>
      </c>
      <c r="C643" s="1" t="s">
        <v>33</v>
      </c>
      <c r="D643" s="1">
        <v>282.95</v>
      </c>
      <c r="E643" s="1" t="s">
        <v>15</v>
      </c>
      <c r="F643" s="1" t="s">
        <v>20</v>
      </c>
      <c r="G643" s="1" t="s">
        <v>23</v>
      </c>
    </row>
    <row r="644" spans="1:7" x14ac:dyDescent="0.3">
      <c r="A644" s="2">
        <v>45276</v>
      </c>
      <c r="B644" s="1">
        <v>70000</v>
      </c>
      <c r="C644" s="1" t="s">
        <v>33</v>
      </c>
      <c r="D644" s="1">
        <v>7345.81</v>
      </c>
      <c r="E644" s="1" t="s">
        <v>15</v>
      </c>
      <c r="F644" s="1" t="s">
        <v>32</v>
      </c>
      <c r="G644" s="1" t="s">
        <v>10</v>
      </c>
    </row>
    <row r="645" spans="1:7" x14ac:dyDescent="0.3">
      <c r="A645" s="2">
        <v>45289</v>
      </c>
      <c r="B645" s="1">
        <v>70000</v>
      </c>
      <c r="C645" s="1" t="s">
        <v>33</v>
      </c>
      <c r="D645" s="1">
        <v>898.51</v>
      </c>
      <c r="E645" s="1" t="s">
        <v>15</v>
      </c>
      <c r="F645" s="1" t="s">
        <v>18</v>
      </c>
      <c r="G645" s="1" t="s">
        <v>10</v>
      </c>
    </row>
    <row r="646" spans="1:7" x14ac:dyDescent="0.3">
      <c r="A646" s="2">
        <v>45048</v>
      </c>
      <c r="B646" s="1">
        <v>60000</v>
      </c>
      <c r="C646" s="1" t="s">
        <v>33</v>
      </c>
      <c r="D646" s="1">
        <v>1335.12</v>
      </c>
      <c r="E646" s="1" t="s">
        <v>15</v>
      </c>
      <c r="F646" s="1" t="s">
        <v>16</v>
      </c>
      <c r="G646" s="1" t="s">
        <v>17</v>
      </c>
    </row>
    <row r="647" spans="1:7" x14ac:dyDescent="0.3">
      <c r="A647" s="2">
        <v>45106</v>
      </c>
      <c r="B647" s="1">
        <v>60000</v>
      </c>
      <c r="C647" s="1" t="s">
        <v>33</v>
      </c>
      <c r="D647" s="1">
        <v>9214.4699999999993</v>
      </c>
      <c r="E647" s="1" t="s">
        <v>15</v>
      </c>
      <c r="F647" s="1" t="s">
        <v>20</v>
      </c>
      <c r="G647" s="1" t="s">
        <v>23</v>
      </c>
    </row>
    <row r="648" spans="1:7" x14ac:dyDescent="0.3">
      <c r="A648" s="2">
        <v>45088</v>
      </c>
      <c r="B648" s="1">
        <v>60000</v>
      </c>
      <c r="C648" s="1" t="s">
        <v>33</v>
      </c>
      <c r="D648" s="1">
        <v>3820.06</v>
      </c>
      <c r="E648" s="1" t="s">
        <v>8</v>
      </c>
      <c r="F648" s="1" t="s">
        <v>13</v>
      </c>
      <c r="G648" s="1" t="s">
        <v>23</v>
      </c>
    </row>
    <row r="649" spans="1:7" x14ac:dyDescent="0.3">
      <c r="A649" s="2">
        <v>45136</v>
      </c>
      <c r="B649" s="1">
        <v>40000</v>
      </c>
      <c r="C649" s="1" t="s">
        <v>33</v>
      </c>
      <c r="D649" s="1">
        <v>2846.91</v>
      </c>
      <c r="E649" s="1" t="s">
        <v>15</v>
      </c>
      <c r="F649" s="1" t="s">
        <v>18</v>
      </c>
      <c r="G649" s="1" t="s">
        <v>29</v>
      </c>
    </row>
    <row r="650" spans="1:7" x14ac:dyDescent="0.3">
      <c r="A650" s="2">
        <v>44989</v>
      </c>
      <c r="B650" s="1">
        <v>70000</v>
      </c>
      <c r="C650" s="1" t="s">
        <v>33</v>
      </c>
      <c r="D650" s="1">
        <v>1397.65</v>
      </c>
      <c r="E650" s="1" t="s">
        <v>8</v>
      </c>
      <c r="F650" s="1" t="s">
        <v>13</v>
      </c>
      <c r="G650" s="1" t="s">
        <v>12</v>
      </c>
    </row>
    <row r="651" spans="1:7" x14ac:dyDescent="0.3">
      <c r="A651" s="2">
        <v>45286</v>
      </c>
      <c r="B651" s="1">
        <v>70000</v>
      </c>
      <c r="C651" s="1" t="s">
        <v>33</v>
      </c>
      <c r="D651" s="1">
        <v>7935.42</v>
      </c>
      <c r="E651" s="1" t="s">
        <v>8</v>
      </c>
      <c r="F651" s="1" t="s">
        <v>11</v>
      </c>
      <c r="G651" s="1" t="s">
        <v>10</v>
      </c>
    </row>
    <row r="652" spans="1:7" x14ac:dyDescent="0.3">
      <c r="A652" s="2">
        <v>45280</v>
      </c>
      <c r="B652" s="1">
        <v>70000</v>
      </c>
      <c r="C652" s="1" t="s">
        <v>33</v>
      </c>
      <c r="D652" s="1">
        <v>2852.16</v>
      </c>
      <c r="E652" s="1" t="s">
        <v>15</v>
      </c>
      <c r="F652" s="1" t="s">
        <v>16</v>
      </c>
      <c r="G652" s="1" t="s">
        <v>10</v>
      </c>
    </row>
    <row r="653" spans="1:7" x14ac:dyDescent="0.3">
      <c r="A653" s="2">
        <v>45142</v>
      </c>
      <c r="B653" s="1">
        <v>60000</v>
      </c>
      <c r="C653" s="1" t="s">
        <v>33</v>
      </c>
      <c r="D653" s="1">
        <v>6263.78</v>
      </c>
      <c r="E653" s="1" t="s">
        <v>8</v>
      </c>
      <c r="F653" s="1" t="s">
        <v>26</v>
      </c>
      <c r="G653" s="1" t="s">
        <v>21</v>
      </c>
    </row>
    <row r="654" spans="1:7" x14ac:dyDescent="0.3">
      <c r="A654" s="2">
        <v>45066</v>
      </c>
      <c r="B654" s="1">
        <v>70000</v>
      </c>
      <c r="C654" s="1" t="s">
        <v>33</v>
      </c>
      <c r="D654" s="1">
        <v>7179.13</v>
      </c>
      <c r="E654" s="1" t="s">
        <v>8</v>
      </c>
      <c r="F654" s="1" t="s">
        <v>13</v>
      </c>
      <c r="G654" s="1" t="s">
        <v>17</v>
      </c>
    </row>
    <row r="655" spans="1:7" x14ac:dyDescent="0.3">
      <c r="A655" s="2">
        <v>45088</v>
      </c>
      <c r="B655" s="1">
        <v>30000</v>
      </c>
      <c r="C655" s="1" t="s">
        <v>33</v>
      </c>
      <c r="D655" s="1">
        <v>2577.77</v>
      </c>
      <c r="E655" s="1" t="s">
        <v>15</v>
      </c>
      <c r="F655" s="1" t="s">
        <v>25</v>
      </c>
      <c r="G655" s="1" t="s">
        <v>23</v>
      </c>
    </row>
    <row r="656" spans="1:7" x14ac:dyDescent="0.3">
      <c r="A656" s="2">
        <v>45227</v>
      </c>
      <c r="B656" s="1">
        <v>40000</v>
      </c>
      <c r="C656" s="1" t="s">
        <v>33</v>
      </c>
      <c r="D656" s="1">
        <v>9384.69</v>
      </c>
      <c r="E656" s="1" t="s">
        <v>15</v>
      </c>
      <c r="F656" s="1" t="s">
        <v>20</v>
      </c>
      <c r="G656" s="1" t="s">
        <v>28</v>
      </c>
    </row>
    <row r="657" spans="1:7" x14ac:dyDescent="0.3">
      <c r="A657" s="2">
        <v>45129</v>
      </c>
      <c r="B657" s="1">
        <v>40000</v>
      </c>
      <c r="C657" s="1" t="s">
        <v>33</v>
      </c>
      <c r="D657" s="1">
        <v>2953.94</v>
      </c>
      <c r="E657" s="1" t="s">
        <v>15</v>
      </c>
      <c r="F657" s="1" t="s">
        <v>25</v>
      </c>
      <c r="G657" s="1" t="s">
        <v>29</v>
      </c>
    </row>
    <row r="658" spans="1:7" x14ac:dyDescent="0.3">
      <c r="A658" s="2">
        <v>45127</v>
      </c>
      <c r="B658" s="1">
        <v>60000</v>
      </c>
      <c r="C658" s="1" t="s">
        <v>33</v>
      </c>
      <c r="D658" s="1">
        <v>1251.23</v>
      </c>
      <c r="E658" s="1" t="s">
        <v>15</v>
      </c>
      <c r="F658" s="1" t="s">
        <v>25</v>
      </c>
      <c r="G658" s="1" t="s">
        <v>29</v>
      </c>
    </row>
    <row r="659" spans="1:7" x14ac:dyDescent="0.3">
      <c r="A659" s="2">
        <v>45135</v>
      </c>
      <c r="B659" s="1">
        <v>70000</v>
      </c>
      <c r="C659" s="1" t="s">
        <v>33</v>
      </c>
      <c r="D659" s="1">
        <v>4011.91</v>
      </c>
      <c r="E659" s="1" t="s">
        <v>8</v>
      </c>
      <c r="F659" s="1" t="s">
        <v>11</v>
      </c>
      <c r="G659" s="1" t="s">
        <v>29</v>
      </c>
    </row>
    <row r="660" spans="1:7" x14ac:dyDescent="0.3">
      <c r="A660" s="2">
        <v>45065</v>
      </c>
      <c r="B660" s="1">
        <v>50000</v>
      </c>
      <c r="C660" s="1" t="s">
        <v>33</v>
      </c>
      <c r="D660" s="1">
        <v>3840.1</v>
      </c>
      <c r="E660" s="1" t="s">
        <v>8</v>
      </c>
      <c r="F660" s="1" t="s">
        <v>11</v>
      </c>
      <c r="G660" s="1" t="s">
        <v>17</v>
      </c>
    </row>
    <row r="661" spans="1:7" x14ac:dyDescent="0.3">
      <c r="A661" s="2">
        <v>45030</v>
      </c>
      <c r="B661" s="1">
        <v>60000</v>
      </c>
      <c r="C661" s="1" t="s">
        <v>33</v>
      </c>
      <c r="D661" s="1">
        <v>5359.93</v>
      </c>
      <c r="E661" s="1" t="s">
        <v>8</v>
      </c>
      <c r="F661" s="1" t="s">
        <v>9</v>
      </c>
      <c r="G661" s="1" t="s">
        <v>30</v>
      </c>
    </row>
    <row r="662" spans="1:7" x14ac:dyDescent="0.3">
      <c r="A662" s="2">
        <v>45224</v>
      </c>
      <c r="B662" s="1">
        <v>60000</v>
      </c>
      <c r="C662" s="1" t="s">
        <v>33</v>
      </c>
      <c r="D662" s="1">
        <v>9253.0300000000007</v>
      </c>
      <c r="E662" s="1" t="s">
        <v>15</v>
      </c>
      <c r="F662" s="1" t="s">
        <v>20</v>
      </c>
      <c r="G662" s="1" t="s">
        <v>28</v>
      </c>
    </row>
    <row r="663" spans="1:7" x14ac:dyDescent="0.3">
      <c r="A663" s="2">
        <v>45261</v>
      </c>
      <c r="B663" s="1">
        <v>40000</v>
      </c>
      <c r="C663" s="1" t="s">
        <v>33</v>
      </c>
      <c r="D663" s="1">
        <v>6299.98</v>
      </c>
      <c r="E663" s="1" t="s">
        <v>15</v>
      </c>
      <c r="F663" s="1" t="s">
        <v>16</v>
      </c>
      <c r="G663" s="1" t="s">
        <v>10</v>
      </c>
    </row>
    <row r="664" spans="1:7" x14ac:dyDescent="0.3">
      <c r="A664" s="2">
        <v>45061</v>
      </c>
      <c r="B664" s="1">
        <v>100000</v>
      </c>
      <c r="C664" s="1" t="s">
        <v>33</v>
      </c>
      <c r="D664" s="1">
        <v>8956.5499999999993</v>
      </c>
      <c r="E664" s="1" t="s">
        <v>8</v>
      </c>
      <c r="F664" s="1" t="s">
        <v>9</v>
      </c>
      <c r="G664" s="1" t="s">
        <v>17</v>
      </c>
    </row>
    <row r="665" spans="1:7" x14ac:dyDescent="0.3">
      <c r="A665" s="2">
        <v>45012</v>
      </c>
      <c r="B665" s="1">
        <v>70000</v>
      </c>
      <c r="C665" s="1" t="s">
        <v>33</v>
      </c>
      <c r="D665" s="1">
        <v>825.77</v>
      </c>
      <c r="E665" s="1" t="s">
        <v>8</v>
      </c>
      <c r="F665" s="1" t="s">
        <v>26</v>
      </c>
      <c r="G665" s="1" t="s">
        <v>12</v>
      </c>
    </row>
    <row r="666" spans="1:7" x14ac:dyDescent="0.3">
      <c r="A666" s="2">
        <v>45118</v>
      </c>
      <c r="B666" s="1">
        <v>80000</v>
      </c>
      <c r="C666" s="1" t="s">
        <v>33</v>
      </c>
      <c r="D666" s="1">
        <v>4518.07</v>
      </c>
      <c r="E666" s="1" t="s">
        <v>8</v>
      </c>
      <c r="F666" s="1" t="s">
        <v>13</v>
      </c>
      <c r="G666" s="1" t="s">
        <v>29</v>
      </c>
    </row>
    <row r="667" spans="1:7" x14ac:dyDescent="0.3">
      <c r="A667" s="2">
        <v>44981</v>
      </c>
      <c r="B667" s="1">
        <v>130000</v>
      </c>
      <c r="C667" s="1" t="s">
        <v>33</v>
      </c>
      <c r="D667" s="1">
        <v>6589.39</v>
      </c>
      <c r="E667" s="1" t="s">
        <v>15</v>
      </c>
      <c r="F667" s="1" t="s">
        <v>25</v>
      </c>
      <c r="G667" s="1" t="s">
        <v>24</v>
      </c>
    </row>
    <row r="668" spans="1:7" x14ac:dyDescent="0.3">
      <c r="A668" s="2">
        <v>45150</v>
      </c>
      <c r="B668" s="1">
        <v>60000</v>
      </c>
      <c r="C668" s="1" t="s">
        <v>33</v>
      </c>
      <c r="D668" s="1">
        <v>3509.5</v>
      </c>
      <c r="E668" s="1" t="s">
        <v>8</v>
      </c>
      <c r="F668" s="1" t="s">
        <v>26</v>
      </c>
      <c r="G668" s="1" t="s">
        <v>21</v>
      </c>
    </row>
    <row r="669" spans="1:7" x14ac:dyDescent="0.3">
      <c r="A669" s="2">
        <v>45222</v>
      </c>
      <c r="B669" s="1">
        <v>40000</v>
      </c>
      <c r="C669" s="1" t="s">
        <v>33</v>
      </c>
      <c r="D669" s="1">
        <v>9129.77</v>
      </c>
      <c r="E669" s="1" t="s">
        <v>8</v>
      </c>
      <c r="F669" s="1" t="s">
        <v>9</v>
      </c>
      <c r="G669" s="1" t="s">
        <v>28</v>
      </c>
    </row>
    <row r="670" spans="1:7" x14ac:dyDescent="0.3">
      <c r="A670" s="2">
        <v>45134</v>
      </c>
      <c r="B670" s="1">
        <v>60000</v>
      </c>
      <c r="C670" s="1" t="s">
        <v>33</v>
      </c>
      <c r="D670" s="1">
        <v>8343.4699999999993</v>
      </c>
      <c r="E670" s="1" t="s">
        <v>8</v>
      </c>
      <c r="F670" s="1" t="s">
        <v>9</v>
      </c>
      <c r="G670" s="1" t="s">
        <v>29</v>
      </c>
    </row>
    <row r="671" spans="1:7" x14ac:dyDescent="0.3">
      <c r="A671" s="2">
        <v>45180</v>
      </c>
      <c r="B671" s="1">
        <v>60000</v>
      </c>
      <c r="C671" s="1" t="s">
        <v>33</v>
      </c>
      <c r="D671" s="1">
        <v>9317.33</v>
      </c>
      <c r="E671" s="1" t="s">
        <v>15</v>
      </c>
      <c r="F671" s="1" t="s">
        <v>25</v>
      </c>
      <c r="G671" s="1" t="s">
        <v>27</v>
      </c>
    </row>
    <row r="672" spans="1:7" x14ac:dyDescent="0.3">
      <c r="A672" s="2">
        <v>45071</v>
      </c>
      <c r="B672" s="1">
        <v>70000</v>
      </c>
      <c r="C672" s="1" t="s">
        <v>33</v>
      </c>
      <c r="D672" s="1">
        <v>8772.93</v>
      </c>
      <c r="E672" s="1" t="s">
        <v>8</v>
      </c>
      <c r="F672" s="1" t="s">
        <v>26</v>
      </c>
      <c r="G672" s="1" t="s">
        <v>17</v>
      </c>
    </row>
    <row r="673" spans="1:7" x14ac:dyDescent="0.3">
      <c r="A673" s="2">
        <v>44936</v>
      </c>
      <c r="B673" s="1">
        <v>60000</v>
      </c>
      <c r="C673" s="1" t="s">
        <v>33</v>
      </c>
      <c r="D673" s="1">
        <v>8124.59</v>
      </c>
      <c r="E673" s="1" t="s">
        <v>15</v>
      </c>
      <c r="F673" s="1" t="s">
        <v>16</v>
      </c>
      <c r="G673" s="1" t="s">
        <v>19</v>
      </c>
    </row>
    <row r="674" spans="1:7" x14ac:dyDescent="0.3">
      <c r="A674" s="2">
        <v>45016</v>
      </c>
      <c r="B674" s="1">
        <v>40000</v>
      </c>
      <c r="C674" s="1" t="s">
        <v>33</v>
      </c>
      <c r="D674" s="1">
        <v>474.63</v>
      </c>
      <c r="E674" s="1" t="s">
        <v>8</v>
      </c>
      <c r="F674" s="1" t="s">
        <v>22</v>
      </c>
      <c r="G674" s="1" t="s">
        <v>12</v>
      </c>
    </row>
    <row r="675" spans="1:7" x14ac:dyDescent="0.3">
      <c r="A675" s="2">
        <v>45209</v>
      </c>
      <c r="B675" s="1">
        <v>70000</v>
      </c>
      <c r="C675" s="1" t="s">
        <v>33</v>
      </c>
      <c r="D675" s="1">
        <v>5550.18</v>
      </c>
      <c r="E675" s="1" t="s">
        <v>8</v>
      </c>
      <c r="F675" s="1" t="s">
        <v>11</v>
      </c>
      <c r="G675" s="1" t="s">
        <v>28</v>
      </c>
    </row>
    <row r="676" spans="1:7" x14ac:dyDescent="0.3">
      <c r="A676" s="2">
        <v>45231</v>
      </c>
      <c r="B676" s="1">
        <v>30000</v>
      </c>
      <c r="C676" s="1" t="s">
        <v>33</v>
      </c>
      <c r="D676" s="1">
        <v>2257.13</v>
      </c>
      <c r="E676" s="1" t="s">
        <v>8</v>
      </c>
      <c r="F676" s="1" t="s">
        <v>22</v>
      </c>
      <c r="G676" s="1" t="s">
        <v>31</v>
      </c>
    </row>
    <row r="677" spans="1:7" x14ac:dyDescent="0.3">
      <c r="A677" s="2">
        <v>45116</v>
      </c>
      <c r="B677" s="1">
        <v>100000</v>
      </c>
      <c r="C677" s="1" t="s">
        <v>33</v>
      </c>
      <c r="D677" s="1">
        <v>3163.26</v>
      </c>
      <c r="E677" s="1" t="s">
        <v>15</v>
      </c>
      <c r="F677" s="1" t="s">
        <v>25</v>
      </c>
      <c r="G677" s="1" t="s">
        <v>29</v>
      </c>
    </row>
    <row r="678" spans="1:7" x14ac:dyDescent="0.3">
      <c r="A678" s="2">
        <v>45268</v>
      </c>
      <c r="B678" s="1">
        <v>40000</v>
      </c>
      <c r="C678" s="1" t="s">
        <v>33</v>
      </c>
      <c r="D678" s="1">
        <v>192.92</v>
      </c>
      <c r="E678" s="1" t="s">
        <v>15</v>
      </c>
      <c r="F678" s="1" t="s">
        <v>25</v>
      </c>
      <c r="G678" s="1" t="s">
        <v>10</v>
      </c>
    </row>
    <row r="679" spans="1:7" x14ac:dyDescent="0.3">
      <c r="A679" s="2">
        <v>45071</v>
      </c>
      <c r="B679" s="1">
        <v>60000</v>
      </c>
      <c r="C679" s="1" t="s">
        <v>33</v>
      </c>
      <c r="D679" s="1">
        <v>1155.46</v>
      </c>
      <c r="E679" s="1" t="s">
        <v>8</v>
      </c>
      <c r="F679" s="1" t="s">
        <v>11</v>
      </c>
      <c r="G679" s="1" t="s">
        <v>17</v>
      </c>
    </row>
    <row r="680" spans="1:7" x14ac:dyDescent="0.3">
      <c r="A680" s="2">
        <v>44953</v>
      </c>
      <c r="B680" s="1">
        <v>80000</v>
      </c>
      <c r="C680" s="1" t="s">
        <v>7</v>
      </c>
      <c r="D680" s="1">
        <v>6186.49</v>
      </c>
      <c r="E680" s="1" t="s">
        <v>15</v>
      </c>
      <c r="F680" s="1" t="s">
        <v>20</v>
      </c>
      <c r="G680" s="1" t="s">
        <v>19</v>
      </c>
    </row>
    <row r="681" spans="1:7" x14ac:dyDescent="0.3">
      <c r="A681" s="2">
        <v>45253</v>
      </c>
      <c r="B681" s="1">
        <v>60000</v>
      </c>
      <c r="C681" s="1" t="s">
        <v>33</v>
      </c>
      <c r="D681" s="1">
        <v>7103.23</v>
      </c>
      <c r="E681" s="1" t="s">
        <v>8</v>
      </c>
      <c r="F681" s="1" t="s">
        <v>9</v>
      </c>
      <c r="G681" s="1" t="s">
        <v>31</v>
      </c>
    </row>
    <row r="682" spans="1:7" x14ac:dyDescent="0.3">
      <c r="A682" s="2">
        <v>45042</v>
      </c>
      <c r="B682" s="1">
        <v>60000</v>
      </c>
      <c r="C682" s="1" t="s">
        <v>33</v>
      </c>
      <c r="D682" s="1">
        <v>6053.83</v>
      </c>
      <c r="E682" s="1" t="s">
        <v>8</v>
      </c>
      <c r="F682" s="1" t="s">
        <v>9</v>
      </c>
      <c r="G682" s="1" t="s">
        <v>30</v>
      </c>
    </row>
    <row r="683" spans="1:7" x14ac:dyDescent="0.3">
      <c r="A683" s="2">
        <v>45179</v>
      </c>
      <c r="B683" s="1">
        <v>80000</v>
      </c>
      <c r="C683" s="1" t="s">
        <v>33</v>
      </c>
      <c r="D683" s="1">
        <v>4537.0600000000004</v>
      </c>
      <c r="E683" s="1" t="s">
        <v>8</v>
      </c>
      <c r="F683" s="1" t="s">
        <v>9</v>
      </c>
      <c r="G683" s="1" t="s">
        <v>27</v>
      </c>
    </row>
    <row r="684" spans="1:7" x14ac:dyDescent="0.3">
      <c r="A684" s="2">
        <v>45101</v>
      </c>
      <c r="B684" s="1">
        <v>20000</v>
      </c>
      <c r="C684" s="1" t="s">
        <v>33</v>
      </c>
      <c r="D684" s="1">
        <v>7471.53</v>
      </c>
      <c r="E684" s="1" t="s">
        <v>8</v>
      </c>
      <c r="F684" s="1" t="s">
        <v>26</v>
      </c>
      <c r="G684" s="1" t="s">
        <v>23</v>
      </c>
    </row>
    <row r="685" spans="1:7" x14ac:dyDescent="0.3">
      <c r="A685" s="2">
        <v>45092</v>
      </c>
      <c r="B685" s="1">
        <v>90000</v>
      </c>
      <c r="C685" s="1" t="s">
        <v>33</v>
      </c>
      <c r="D685" s="1">
        <v>1204.6099999999999</v>
      </c>
      <c r="E685" s="1" t="s">
        <v>15</v>
      </c>
      <c r="F685" s="1" t="s">
        <v>32</v>
      </c>
      <c r="G685" s="1" t="s">
        <v>23</v>
      </c>
    </row>
    <row r="686" spans="1:7" x14ac:dyDescent="0.3">
      <c r="A686" s="2">
        <v>45225</v>
      </c>
      <c r="B686" s="1">
        <v>60000</v>
      </c>
      <c r="C686" s="1" t="s">
        <v>33</v>
      </c>
      <c r="D686" s="1">
        <v>8150.95</v>
      </c>
      <c r="E686" s="1" t="s">
        <v>15</v>
      </c>
      <c r="F686" s="1" t="s">
        <v>16</v>
      </c>
      <c r="G686" s="1" t="s">
        <v>28</v>
      </c>
    </row>
    <row r="687" spans="1:7" x14ac:dyDescent="0.3">
      <c r="A687" s="2">
        <v>45237</v>
      </c>
      <c r="B687" s="1">
        <v>60000</v>
      </c>
      <c r="C687" s="1" t="s">
        <v>33</v>
      </c>
      <c r="D687" s="1">
        <v>9671.52</v>
      </c>
      <c r="E687" s="1" t="s">
        <v>15</v>
      </c>
      <c r="F687" s="1" t="s">
        <v>18</v>
      </c>
      <c r="G687" s="1" t="s">
        <v>31</v>
      </c>
    </row>
    <row r="688" spans="1:7" x14ac:dyDescent="0.3">
      <c r="A688" s="2">
        <v>45213</v>
      </c>
      <c r="B688" s="1">
        <v>40000</v>
      </c>
      <c r="C688" s="1" t="s">
        <v>33</v>
      </c>
      <c r="D688" s="1">
        <v>8323.14</v>
      </c>
      <c r="E688" s="1" t="s">
        <v>8</v>
      </c>
      <c r="F688" s="1" t="s">
        <v>9</v>
      </c>
      <c r="G688" s="1" t="s">
        <v>28</v>
      </c>
    </row>
    <row r="689" spans="1:7" x14ac:dyDescent="0.3">
      <c r="A689" s="2">
        <v>45162</v>
      </c>
      <c r="B689" s="1">
        <v>30000</v>
      </c>
      <c r="C689" s="1" t="s">
        <v>33</v>
      </c>
      <c r="D689" s="1">
        <v>6561.23</v>
      </c>
      <c r="E689" s="1" t="s">
        <v>8</v>
      </c>
      <c r="F689" s="1" t="s">
        <v>22</v>
      </c>
      <c r="G689" s="1" t="s">
        <v>21</v>
      </c>
    </row>
    <row r="690" spans="1:7" x14ac:dyDescent="0.3">
      <c r="A690" s="2">
        <v>44994</v>
      </c>
      <c r="B690" s="1">
        <v>60000</v>
      </c>
      <c r="C690" s="1" t="s">
        <v>33</v>
      </c>
      <c r="D690" s="1">
        <v>9530.18</v>
      </c>
      <c r="E690" s="1" t="s">
        <v>8</v>
      </c>
      <c r="F690" s="1" t="s">
        <v>9</v>
      </c>
      <c r="G690" s="1" t="s">
        <v>12</v>
      </c>
    </row>
    <row r="691" spans="1:7" x14ac:dyDescent="0.3">
      <c r="A691" s="2">
        <v>45173</v>
      </c>
      <c r="B691" s="1">
        <v>30000</v>
      </c>
      <c r="C691" s="1" t="s">
        <v>33</v>
      </c>
      <c r="D691" s="1">
        <v>8413.5499999999993</v>
      </c>
      <c r="E691" s="1" t="s">
        <v>8</v>
      </c>
      <c r="F691" s="1" t="s">
        <v>26</v>
      </c>
      <c r="G691" s="1" t="s">
        <v>27</v>
      </c>
    </row>
    <row r="692" spans="1:7" x14ac:dyDescent="0.3">
      <c r="A692" s="2">
        <v>45144</v>
      </c>
      <c r="B692" s="1">
        <v>130000</v>
      </c>
      <c r="C692" s="1" t="s">
        <v>33</v>
      </c>
      <c r="D692" s="1">
        <v>9888.8700000000008</v>
      </c>
      <c r="E692" s="1" t="s">
        <v>15</v>
      </c>
      <c r="F692" s="1" t="s">
        <v>25</v>
      </c>
      <c r="G692" s="1" t="s">
        <v>21</v>
      </c>
    </row>
    <row r="693" spans="1:7" x14ac:dyDescent="0.3">
      <c r="A693" s="2">
        <v>45193</v>
      </c>
      <c r="B693" s="1">
        <v>50000</v>
      </c>
      <c r="C693" s="1" t="s">
        <v>33</v>
      </c>
      <c r="D693" s="1">
        <v>6815.11</v>
      </c>
      <c r="E693" s="1" t="s">
        <v>15</v>
      </c>
      <c r="F693" s="1" t="s">
        <v>32</v>
      </c>
      <c r="G693" s="1" t="s">
        <v>27</v>
      </c>
    </row>
    <row r="694" spans="1:7" x14ac:dyDescent="0.3">
      <c r="A694" s="2">
        <v>45281</v>
      </c>
      <c r="B694" s="1">
        <v>70000</v>
      </c>
      <c r="C694" s="1" t="s">
        <v>33</v>
      </c>
      <c r="D694" s="1">
        <v>9343.69</v>
      </c>
      <c r="E694" s="1" t="s">
        <v>8</v>
      </c>
      <c r="F694" s="1" t="s">
        <v>26</v>
      </c>
      <c r="G694" s="1" t="s">
        <v>10</v>
      </c>
    </row>
    <row r="695" spans="1:7" x14ac:dyDescent="0.3">
      <c r="A695" s="2">
        <v>45184</v>
      </c>
      <c r="B695" s="1">
        <v>60000</v>
      </c>
      <c r="C695" s="1" t="s">
        <v>33</v>
      </c>
      <c r="D695" s="1">
        <v>1570.57</v>
      </c>
      <c r="E695" s="1" t="s">
        <v>8</v>
      </c>
      <c r="F695" s="1" t="s">
        <v>11</v>
      </c>
      <c r="G695" s="1" t="s">
        <v>27</v>
      </c>
    </row>
    <row r="696" spans="1:7" x14ac:dyDescent="0.3">
      <c r="A696" s="2">
        <v>45197</v>
      </c>
      <c r="B696" s="1">
        <v>80000</v>
      </c>
      <c r="C696" s="1" t="s">
        <v>33</v>
      </c>
      <c r="D696" s="1">
        <v>4718.59</v>
      </c>
      <c r="E696" s="1" t="s">
        <v>8</v>
      </c>
      <c r="F696" s="1" t="s">
        <v>13</v>
      </c>
      <c r="G696" s="1" t="s">
        <v>27</v>
      </c>
    </row>
    <row r="697" spans="1:7" x14ac:dyDescent="0.3">
      <c r="A697" s="2">
        <v>45081</v>
      </c>
      <c r="B697" s="1">
        <v>80000</v>
      </c>
      <c r="C697" s="1" t="s">
        <v>33</v>
      </c>
      <c r="D697" s="1">
        <v>1176.54</v>
      </c>
      <c r="E697" s="1" t="s">
        <v>8</v>
      </c>
      <c r="F697" s="1" t="s">
        <v>13</v>
      </c>
      <c r="G697" s="1" t="s">
        <v>23</v>
      </c>
    </row>
    <row r="698" spans="1:7" x14ac:dyDescent="0.3">
      <c r="A698" s="2">
        <v>45208</v>
      </c>
      <c r="B698" s="1">
        <v>60000</v>
      </c>
      <c r="C698" s="1" t="s">
        <v>33</v>
      </c>
      <c r="D698" s="1">
        <v>7887.94</v>
      </c>
      <c r="E698" s="1" t="s">
        <v>15</v>
      </c>
      <c r="F698" s="1" t="s">
        <v>16</v>
      </c>
      <c r="G698" s="1" t="s">
        <v>28</v>
      </c>
    </row>
    <row r="699" spans="1:7" x14ac:dyDescent="0.3">
      <c r="A699" s="2">
        <v>45214</v>
      </c>
      <c r="B699" s="1">
        <v>30000</v>
      </c>
      <c r="C699" s="1" t="s">
        <v>33</v>
      </c>
      <c r="D699" s="1">
        <v>4827.55</v>
      </c>
      <c r="E699" s="1" t="s">
        <v>8</v>
      </c>
      <c r="F699" s="1" t="s">
        <v>22</v>
      </c>
      <c r="G699" s="1" t="s">
        <v>28</v>
      </c>
    </row>
    <row r="700" spans="1:7" x14ac:dyDescent="0.3">
      <c r="A700" s="2">
        <v>45038</v>
      </c>
      <c r="B700" s="1">
        <v>20000</v>
      </c>
      <c r="C700" s="1" t="s">
        <v>33</v>
      </c>
      <c r="D700" s="1">
        <v>1020.98</v>
      </c>
      <c r="E700" s="1" t="s">
        <v>15</v>
      </c>
      <c r="F700" s="1" t="s">
        <v>32</v>
      </c>
      <c r="G700" s="1" t="s">
        <v>30</v>
      </c>
    </row>
    <row r="701" spans="1:7" x14ac:dyDescent="0.3">
      <c r="A701" s="2">
        <v>45193</v>
      </c>
      <c r="B701" s="1">
        <v>90000</v>
      </c>
      <c r="C701" s="1" t="s">
        <v>33</v>
      </c>
      <c r="D701" s="1">
        <v>7192.38</v>
      </c>
      <c r="E701" s="1" t="s">
        <v>8</v>
      </c>
      <c r="F701" s="1" t="s">
        <v>26</v>
      </c>
      <c r="G701" s="1" t="s">
        <v>27</v>
      </c>
    </row>
    <row r="702" spans="1:7" x14ac:dyDescent="0.3">
      <c r="A702" s="2">
        <v>45180</v>
      </c>
      <c r="B702" s="1">
        <v>70000</v>
      </c>
      <c r="C702" s="1" t="s">
        <v>33</v>
      </c>
      <c r="D702" s="1">
        <v>1663.65</v>
      </c>
      <c r="E702" s="1" t="s">
        <v>15</v>
      </c>
      <c r="F702" s="1" t="s">
        <v>32</v>
      </c>
      <c r="G702" s="1" t="s">
        <v>27</v>
      </c>
    </row>
    <row r="703" spans="1:7" x14ac:dyDescent="0.3">
      <c r="A703" s="2">
        <v>45070</v>
      </c>
      <c r="B703" s="1">
        <v>30000</v>
      </c>
      <c r="C703" s="1" t="s">
        <v>33</v>
      </c>
      <c r="D703" s="1">
        <v>4675.08</v>
      </c>
      <c r="E703" s="1" t="s">
        <v>15</v>
      </c>
      <c r="F703" s="1" t="s">
        <v>18</v>
      </c>
      <c r="G703" s="1" t="s">
        <v>17</v>
      </c>
    </row>
    <row r="704" spans="1:7" x14ac:dyDescent="0.3">
      <c r="A704" s="2">
        <v>45193</v>
      </c>
      <c r="B704" s="1">
        <v>120000</v>
      </c>
      <c r="C704" s="1" t="s">
        <v>33</v>
      </c>
      <c r="D704" s="1">
        <v>3546.84</v>
      </c>
      <c r="E704" s="1" t="s">
        <v>8</v>
      </c>
      <c r="F704" s="1" t="s">
        <v>9</v>
      </c>
      <c r="G704" s="1" t="s">
        <v>27</v>
      </c>
    </row>
    <row r="705" spans="1:7" x14ac:dyDescent="0.3">
      <c r="A705" s="2">
        <v>45215</v>
      </c>
      <c r="B705" s="1">
        <v>50000</v>
      </c>
      <c r="C705" s="1" t="s">
        <v>33</v>
      </c>
      <c r="D705" s="1">
        <v>7326.36</v>
      </c>
      <c r="E705" s="1" t="s">
        <v>8</v>
      </c>
      <c r="F705" s="1" t="s">
        <v>9</v>
      </c>
      <c r="G705" s="1" t="s">
        <v>28</v>
      </c>
    </row>
    <row r="706" spans="1:7" x14ac:dyDescent="0.3">
      <c r="A706" s="2">
        <v>45172</v>
      </c>
      <c r="B706" s="1">
        <v>40000</v>
      </c>
      <c r="C706" s="1" t="s">
        <v>33</v>
      </c>
      <c r="D706" s="1">
        <v>4037.66</v>
      </c>
      <c r="E706" s="1" t="s">
        <v>15</v>
      </c>
      <c r="F706" s="1" t="s">
        <v>32</v>
      </c>
      <c r="G706" s="1" t="s">
        <v>27</v>
      </c>
    </row>
    <row r="707" spans="1:7" x14ac:dyDescent="0.3">
      <c r="A707" s="2">
        <v>45253</v>
      </c>
      <c r="B707" s="1">
        <v>70000</v>
      </c>
      <c r="C707" s="1" t="s">
        <v>33</v>
      </c>
      <c r="D707" s="1">
        <v>1825.48</v>
      </c>
      <c r="E707" s="1" t="s">
        <v>8</v>
      </c>
      <c r="F707" s="1" t="s">
        <v>13</v>
      </c>
      <c r="G707" s="1" t="s">
        <v>31</v>
      </c>
    </row>
    <row r="708" spans="1:7" x14ac:dyDescent="0.3">
      <c r="A708" s="2">
        <v>44949</v>
      </c>
      <c r="B708" s="1">
        <v>60000</v>
      </c>
      <c r="C708" s="1" t="s">
        <v>33</v>
      </c>
      <c r="D708" s="1">
        <v>9451.5300000000007</v>
      </c>
      <c r="E708" s="1" t="s">
        <v>15</v>
      </c>
      <c r="F708" s="1" t="s">
        <v>32</v>
      </c>
      <c r="G708" s="1" t="s">
        <v>19</v>
      </c>
    </row>
    <row r="709" spans="1:7" x14ac:dyDescent="0.3">
      <c r="A709" s="2">
        <v>45249</v>
      </c>
      <c r="B709" s="1">
        <v>70000</v>
      </c>
      <c r="C709" s="1" t="s">
        <v>33</v>
      </c>
      <c r="D709" s="1">
        <v>8781.9599999999991</v>
      </c>
      <c r="E709" s="1" t="s">
        <v>8</v>
      </c>
      <c r="F709" s="1" t="s">
        <v>13</v>
      </c>
      <c r="G709" s="1" t="s">
        <v>31</v>
      </c>
    </row>
    <row r="710" spans="1:7" x14ac:dyDescent="0.3">
      <c r="A710" s="2">
        <v>44944</v>
      </c>
      <c r="B710" s="1">
        <v>70000</v>
      </c>
      <c r="C710" s="1" t="s">
        <v>33</v>
      </c>
      <c r="D710" s="1">
        <v>8939.4599999999991</v>
      </c>
      <c r="E710" s="1" t="s">
        <v>8</v>
      </c>
      <c r="F710" s="1" t="s">
        <v>22</v>
      </c>
      <c r="G710" s="1" t="s">
        <v>19</v>
      </c>
    </row>
    <row r="711" spans="1:7" x14ac:dyDescent="0.3">
      <c r="A711" s="2">
        <v>45076</v>
      </c>
      <c r="B711" s="1">
        <v>70000</v>
      </c>
      <c r="C711" s="1" t="s">
        <v>33</v>
      </c>
      <c r="D711" s="1">
        <v>1293.97</v>
      </c>
      <c r="E711" s="1" t="s">
        <v>8</v>
      </c>
      <c r="F711" s="1" t="s">
        <v>22</v>
      </c>
      <c r="G711" s="1" t="s">
        <v>17</v>
      </c>
    </row>
    <row r="712" spans="1:7" x14ac:dyDescent="0.3">
      <c r="A712" s="2">
        <v>45143</v>
      </c>
      <c r="B712" s="1">
        <v>60000</v>
      </c>
      <c r="C712" s="1" t="s">
        <v>33</v>
      </c>
      <c r="D712" s="1">
        <v>8051.67</v>
      </c>
      <c r="E712" s="1" t="s">
        <v>8</v>
      </c>
      <c r="F712" s="1" t="s">
        <v>22</v>
      </c>
      <c r="G712" s="1" t="s">
        <v>21</v>
      </c>
    </row>
    <row r="713" spans="1:7" x14ac:dyDescent="0.3">
      <c r="A713" s="2">
        <v>44993</v>
      </c>
      <c r="B713" s="1">
        <v>70000</v>
      </c>
      <c r="C713" s="1" t="s">
        <v>33</v>
      </c>
      <c r="D713" s="1">
        <v>4120.7</v>
      </c>
      <c r="E713" s="1" t="s">
        <v>15</v>
      </c>
      <c r="F713" s="1" t="s">
        <v>25</v>
      </c>
      <c r="G713" s="1" t="s">
        <v>12</v>
      </c>
    </row>
    <row r="714" spans="1:7" x14ac:dyDescent="0.3">
      <c r="A714" s="2">
        <v>44990</v>
      </c>
      <c r="B714" s="1">
        <v>40000</v>
      </c>
      <c r="C714" s="1" t="s">
        <v>33</v>
      </c>
      <c r="D714" s="1">
        <v>4665.8</v>
      </c>
      <c r="E714" s="1" t="s">
        <v>8</v>
      </c>
      <c r="F714" s="1" t="s">
        <v>26</v>
      </c>
      <c r="G714" s="1" t="s">
        <v>12</v>
      </c>
    </row>
    <row r="715" spans="1:7" x14ac:dyDescent="0.3">
      <c r="A715" s="2">
        <v>45272</v>
      </c>
      <c r="B715" s="1">
        <v>70000</v>
      </c>
      <c r="C715" s="1" t="s">
        <v>33</v>
      </c>
      <c r="D715" s="1">
        <v>5851.46</v>
      </c>
      <c r="E715" s="1" t="s">
        <v>8</v>
      </c>
      <c r="F715" s="1" t="s">
        <v>11</v>
      </c>
      <c r="G715" s="1" t="s">
        <v>10</v>
      </c>
    </row>
    <row r="716" spans="1:7" x14ac:dyDescent="0.3">
      <c r="A716" s="2">
        <v>45236</v>
      </c>
      <c r="B716" s="1">
        <v>40000</v>
      </c>
      <c r="C716" s="1" t="s">
        <v>33</v>
      </c>
      <c r="D716" s="1">
        <v>8207.48</v>
      </c>
      <c r="E716" s="1" t="s">
        <v>8</v>
      </c>
      <c r="F716" s="1" t="s">
        <v>9</v>
      </c>
      <c r="G716" s="1" t="s">
        <v>31</v>
      </c>
    </row>
    <row r="717" spans="1:7" x14ac:dyDescent="0.3">
      <c r="A717" s="2">
        <v>45170</v>
      </c>
      <c r="B717" s="1">
        <v>60000</v>
      </c>
      <c r="C717" s="1" t="s">
        <v>33</v>
      </c>
      <c r="D717" s="1">
        <v>3329.92</v>
      </c>
      <c r="E717" s="1" t="s">
        <v>15</v>
      </c>
      <c r="F717" s="1" t="s">
        <v>32</v>
      </c>
      <c r="G717" s="1" t="s">
        <v>27</v>
      </c>
    </row>
    <row r="718" spans="1:7" x14ac:dyDescent="0.3">
      <c r="A718" s="2">
        <v>45275</v>
      </c>
      <c r="B718" s="1">
        <v>80000</v>
      </c>
      <c r="C718" s="1" t="s">
        <v>33</v>
      </c>
      <c r="D718" s="1">
        <v>7521.5</v>
      </c>
      <c r="E718" s="1" t="s">
        <v>15</v>
      </c>
      <c r="F718" s="1" t="s">
        <v>32</v>
      </c>
      <c r="G718" s="1" t="s">
        <v>10</v>
      </c>
    </row>
    <row r="719" spans="1:7" x14ac:dyDescent="0.3">
      <c r="A719" s="2">
        <v>45043</v>
      </c>
      <c r="B719" s="1">
        <v>90000</v>
      </c>
      <c r="C719" s="1" t="s">
        <v>33</v>
      </c>
      <c r="D719" s="1">
        <v>8686.48</v>
      </c>
      <c r="E719" s="1" t="s">
        <v>15</v>
      </c>
      <c r="F719" s="1" t="s">
        <v>20</v>
      </c>
      <c r="G719" s="1" t="s">
        <v>30</v>
      </c>
    </row>
    <row r="720" spans="1:7" x14ac:dyDescent="0.3">
      <c r="A720" s="2">
        <v>44929</v>
      </c>
      <c r="B720" s="1">
        <v>70000</v>
      </c>
      <c r="C720" s="1" t="s">
        <v>33</v>
      </c>
      <c r="D720" s="1">
        <v>1565.18</v>
      </c>
      <c r="E720" s="1" t="s">
        <v>8</v>
      </c>
      <c r="F720" s="1" t="s">
        <v>13</v>
      </c>
      <c r="G720" s="1" t="s">
        <v>19</v>
      </c>
    </row>
    <row r="721" spans="1:7" x14ac:dyDescent="0.3">
      <c r="A721" s="2">
        <v>45215</v>
      </c>
      <c r="B721" s="1">
        <v>70000</v>
      </c>
      <c r="C721" s="1" t="s">
        <v>33</v>
      </c>
      <c r="D721" s="1">
        <v>8260.5400000000009</v>
      </c>
      <c r="E721" s="1" t="s">
        <v>15</v>
      </c>
      <c r="F721" s="1" t="s">
        <v>32</v>
      </c>
      <c r="G721" s="1" t="s">
        <v>28</v>
      </c>
    </row>
    <row r="722" spans="1:7" x14ac:dyDescent="0.3">
      <c r="A722" s="2">
        <v>45086</v>
      </c>
      <c r="B722" s="1">
        <v>40000</v>
      </c>
      <c r="C722" s="1" t="s">
        <v>33</v>
      </c>
      <c r="D722" s="1">
        <v>3969.67</v>
      </c>
      <c r="E722" s="1" t="s">
        <v>15</v>
      </c>
      <c r="F722" s="1" t="s">
        <v>16</v>
      </c>
      <c r="G722" s="1" t="s">
        <v>23</v>
      </c>
    </row>
    <row r="723" spans="1:7" x14ac:dyDescent="0.3">
      <c r="A723" s="2">
        <v>45106</v>
      </c>
      <c r="B723" s="1">
        <v>110000</v>
      </c>
      <c r="C723" s="1" t="s">
        <v>33</v>
      </c>
      <c r="D723" s="1">
        <v>8259.2199999999993</v>
      </c>
      <c r="E723" s="1" t="s">
        <v>15</v>
      </c>
      <c r="F723" s="1" t="s">
        <v>32</v>
      </c>
      <c r="G723" s="1" t="s">
        <v>23</v>
      </c>
    </row>
    <row r="724" spans="1:7" x14ac:dyDescent="0.3">
      <c r="A724" s="2">
        <v>45044</v>
      </c>
      <c r="B724" s="1">
        <v>70000</v>
      </c>
      <c r="C724" s="1" t="s">
        <v>33</v>
      </c>
      <c r="D724" s="1">
        <v>3678.73</v>
      </c>
      <c r="E724" s="1" t="s">
        <v>15</v>
      </c>
      <c r="F724" s="1" t="s">
        <v>25</v>
      </c>
      <c r="G724" s="1" t="s">
        <v>30</v>
      </c>
    </row>
    <row r="725" spans="1:7" x14ac:dyDescent="0.3">
      <c r="A725" s="2">
        <v>45280</v>
      </c>
      <c r="B725" s="1">
        <v>80000</v>
      </c>
      <c r="C725" s="1" t="s">
        <v>33</v>
      </c>
      <c r="D725" s="1">
        <v>4133.84</v>
      </c>
      <c r="E725" s="1" t="s">
        <v>8</v>
      </c>
      <c r="F725" s="1" t="s">
        <v>22</v>
      </c>
      <c r="G725" s="1" t="s">
        <v>10</v>
      </c>
    </row>
    <row r="726" spans="1:7" x14ac:dyDescent="0.3">
      <c r="A726" s="2">
        <v>45121</v>
      </c>
      <c r="B726" s="1">
        <v>30000</v>
      </c>
      <c r="C726" s="1" t="s">
        <v>33</v>
      </c>
      <c r="D726" s="1">
        <v>2216.4</v>
      </c>
      <c r="E726" s="1" t="s">
        <v>8</v>
      </c>
      <c r="F726" s="1" t="s">
        <v>13</v>
      </c>
      <c r="G726" s="1" t="s">
        <v>29</v>
      </c>
    </row>
    <row r="727" spans="1:7" x14ac:dyDescent="0.3">
      <c r="A727" s="2">
        <v>45149</v>
      </c>
      <c r="B727" s="1">
        <v>130000</v>
      </c>
      <c r="C727" s="1" t="s">
        <v>33</v>
      </c>
      <c r="D727" s="1">
        <v>6244.33</v>
      </c>
      <c r="E727" s="1" t="s">
        <v>8</v>
      </c>
      <c r="F727" s="1" t="s">
        <v>26</v>
      </c>
      <c r="G727" s="1" t="s">
        <v>21</v>
      </c>
    </row>
    <row r="728" spans="1:7" x14ac:dyDescent="0.3">
      <c r="A728" s="2">
        <v>45181</v>
      </c>
      <c r="B728" s="1">
        <v>20000</v>
      </c>
      <c r="C728" s="1" t="s">
        <v>33</v>
      </c>
      <c r="D728" s="1">
        <v>1485.39</v>
      </c>
      <c r="E728" s="1" t="s">
        <v>15</v>
      </c>
      <c r="F728" s="1" t="s">
        <v>25</v>
      </c>
      <c r="G728" s="1" t="s">
        <v>27</v>
      </c>
    </row>
    <row r="729" spans="1:7" x14ac:dyDescent="0.3">
      <c r="A729" s="2">
        <v>45269</v>
      </c>
      <c r="B729" s="1">
        <v>70000</v>
      </c>
      <c r="C729" s="1" t="s">
        <v>33</v>
      </c>
      <c r="D729" s="1">
        <v>4134.75</v>
      </c>
      <c r="E729" s="1" t="s">
        <v>15</v>
      </c>
      <c r="F729" s="1" t="s">
        <v>25</v>
      </c>
      <c r="G729" s="1" t="s">
        <v>10</v>
      </c>
    </row>
    <row r="730" spans="1:7" x14ac:dyDescent="0.3">
      <c r="A730" s="2">
        <v>45162</v>
      </c>
      <c r="B730" s="1">
        <v>40000</v>
      </c>
      <c r="C730" s="1" t="s">
        <v>33</v>
      </c>
      <c r="D730" s="1">
        <v>6179.99</v>
      </c>
      <c r="E730" s="1" t="s">
        <v>8</v>
      </c>
      <c r="F730" s="1" t="s">
        <v>11</v>
      </c>
      <c r="G730" s="1" t="s">
        <v>21</v>
      </c>
    </row>
    <row r="731" spans="1:7" x14ac:dyDescent="0.3">
      <c r="A731" s="2">
        <v>45049</v>
      </c>
      <c r="B731" s="1">
        <v>60000</v>
      </c>
      <c r="C731" s="1" t="s">
        <v>33</v>
      </c>
      <c r="D731" s="1">
        <v>944.89</v>
      </c>
      <c r="E731" s="1" t="s">
        <v>8</v>
      </c>
      <c r="F731" s="1" t="s">
        <v>26</v>
      </c>
      <c r="G731" s="1" t="s">
        <v>17</v>
      </c>
    </row>
    <row r="732" spans="1:7" x14ac:dyDescent="0.3">
      <c r="A732" s="2">
        <v>45148</v>
      </c>
      <c r="B732" s="1">
        <v>60000</v>
      </c>
      <c r="C732" s="1" t="s">
        <v>33</v>
      </c>
      <c r="D732" s="1">
        <v>8815.0499999999993</v>
      </c>
      <c r="E732" s="1" t="s">
        <v>8</v>
      </c>
      <c r="F732" s="1" t="s">
        <v>22</v>
      </c>
      <c r="G732" s="1" t="s">
        <v>21</v>
      </c>
    </row>
    <row r="733" spans="1:7" x14ac:dyDescent="0.3">
      <c r="A733" s="2">
        <v>45273</v>
      </c>
      <c r="B733" s="1">
        <v>60000</v>
      </c>
      <c r="C733" s="1" t="s">
        <v>33</v>
      </c>
      <c r="D733" s="1">
        <v>6458.43</v>
      </c>
      <c r="E733" s="1" t="s">
        <v>8</v>
      </c>
      <c r="F733" s="1" t="s">
        <v>13</v>
      </c>
      <c r="G733" s="1" t="s">
        <v>10</v>
      </c>
    </row>
    <row r="734" spans="1:7" x14ac:dyDescent="0.3">
      <c r="A734" s="2">
        <v>45140</v>
      </c>
      <c r="B734" s="1">
        <v>60000</v>
      </c>
      <c r="C734" s="1" t="s">
        <v>33</v>
      </c>
      <c r="D734" s="1">
        <v>9614.8799999999992</v>
      </c>
      <c r="E734" s="1" t="s">
        <v>15</v>
      </c>
      <c r="F734" s="1" t="s">
        <v>32</v>
      </c>
      <c r="G734" s="1" t="s">
        <v>21</v>
      </c>
    </row>
    <row r="735" spans="1:7" x14ac:dyDescent="0.3">
      <c r="A735" s="2">
        <v>45166</v>
      </c>
      <c r="B735" s="1">
        <v>130000</v>
      </c>
      <c r="C735" s="1" t="s">
        <v>33</v>
      </c>
      <c r="D735" s="1">
        <v>3959.28</v>
      </c>
      <c r="E735" s="1" t="s">
        <v>15</v>
      </c>
      <c r="F735" s="1" t="s">
        <v>18</v>
      </c>
      <c r="G735" s="1" t="s">
        <v>21</v>
      </c>
    </row>
    <row r="736" spans="1:7" x14ac:dyDescent="0.3">
      <c r="A736" s="2">
        <v>45164</v>
      </c>
      <c r="B736" s="1">
        <v>130000</v>
      </c>
      <c r="C736" s="1" t="s">
        <v>33</v>
      </c>
      <c r="D736" s="1">
        <v>1596.58</v>
      </c>
      <c r="E736" s="1" t="s">
        <v>15</v>
      </c>
      <c r="F736" s="1" t="s">
        <v>32</v>
      </c>
      <c r="G736" s="1" t="s">
        <v>21</v>
      </c>
    </row>
    <row r="737" spans="1:7" x14ac:dyDescent="0.3">
      <c r="A737" s="2">
        <v>44930</v>
      </c>
      <c r="B737" s="1">
        <v>30000</v>
      </c>
      <c r="C737" s="1" t="s">
        <v>33</v>
      </c>
      <c r="D737" s="1">
        <v>5050.53</v>
      </c>
      <c r="E737" s="1" t="s">
        <v>8</v>
      </c>
      <c r="F737" s="1" t="s">
        <v>22</v>
      </c>
      <c r="G737" s="1" t="s">
        <v>19</v>
      </c>
    </row>
    <row r="738" spans="1:7" x14ac:dyDescent="0.3">
      <c r="A738" s="2">
        <v>44967</v>
      </c>
      <c r="B738" s="1">
        <v>40000</v>
      </c>
      <c r="C738" s="1" t="s">
        <v>33</v>
      </c>
      <c r="D738" s="1">
        <v>4686.5600000000004</v>
      </c>
      <c r="E738" s="1" t="s">
        <v>15</v>
      </c>
      <c r="F738" s="1" t="s">
        <v>18</v>
      </c>
      <c r="G738" s="1" t="s">
        <v>24</v>
      </c>
    </row>
    <row r="739" spans="1:7" x14ac:dyDescent="0.3">
      <c r="A739" s="2">
        <v>45103</v>
      </c>
      <c r="B739" s="1">
        <v>70000</v>
      </c>
      <c r="C739" s="1" t="s">
        <v>33</v>
      </c>
      <c r="D739" s="1">
        <v>1933.14</v>
      </c>
      <c r="E739" s="1" t="s">
        <v>15</v>
      </c>
      <c r="F739" s="1" t="s">
        <v>20</v>
      </c>
      <c r="G739" s="1" t="s">
        <v>23</v>
      </c>
    </row>
    <row r="740" spans="1:7" x14ac:dyDescent="0.3">
      <c r="A740" s="2">
        <v>45255</v>
      </c>
      <c r="B740" s="1">
        <v>40000</v>
      </c>
      <c r="C740" s="1" t="s">
        <v>33</v>
      </c>
      <c r="D740" s="1">
        <v>2911.67</v>
      </c>
      <c r="E740" s="1" t="s">
        <v>8</v>
      </c>
      <c r="F740" s="1" t="s">
        <v>13</v>
      </c>
      <c r="G740" s="1" t="s">
        <v>31</v>
      </c>
    </row>
    <row r="741" spans="1:7" x14ac:dyDescent="0.3">
      <c r="A741" s="2">
        <v>45251</v>
      </c>
      <c r="B741" s="1">
        <v>60000</v>
      </c>
      <c r="C741" s="1" t="s">
        <v>33</v>
      </c>
      <c r="D741" s="1">
        <v>8064.33</v>
      </c>
      <c r="E741" s="1" t="s">
        <v>8</v>
      </c>
      <c r="F741" s="1" t="s">
        <v>9</v>
      </c>
      <c r="G741" s="1" t="s">
        <v>31</v>
      </c>
    </row>
    <row r="742" spans="1:7" x14ac:dyDescent="0.3">
      <c r="A742" s="2">
        <v>45248</v>
      </c>
      <c r="B742" s="1">
        <v>40000</v>
      </c>
      <c r="C742" s="1" t="s">
        <v>33</v>
      </c>
      <c r="D742" s="1">
        <v>8165.36</v>
      </c>
      <c r="E742" s="1" t="s">
        <v>15</v>
      </c>
      <c r="F742" s="1" t="s">
        <v>18</v>
      </c>
      <c r="G742" s="1" t="s">
        <v>31</v>
      </c>
    </row>
    <row r="743" spans="1:7" x14ac:dyDescent="0.3">
      <c r="A743" s="2">
        <v>45038</v>
      </c>
      <c r="B743" s="1">
        <v>40000</v>
      </c>
      <c r="C743" s="1" t="s">
        <v>33</v>
      </c>
      <c r="D743" s="1">
        <v>6575.62</v>
      </c>
      <c r="E743" s="1" t="s">
        <v>15</v>
      </c>
      <c r="F743" s="1" t="s">
        <v>32</v>
      </c>
      <c r="G743" s="1" t="s">
        <v>30</v>
      </c>
    </row>
    <row r="744" spans="1:7" x14ac:dyDescent="0.3">
      <c r="A744" s="2">
        <v>45072</v>
      </c>
      <c r="B744" s="1">
        <v>30000</v>
      </c>
      <c r="C744" s="1" t="s">
        <v>33</v>
      </c>
      <c r="D744" s="1">
        <v>6764.35</v>
      </c>
      <c r="E744" s="1" t="s">
        <v>15</v>
      </c>
      <c r="F744" s="1" t="s">
        <v>20</v>
      </c>
      <c r="G744" s="1" t="s">
        <v>17</v>
      </c>
    </row>
    <row r="745" spans="1:7" x14ac:dyDescent="0.3">
      <c r="A745" s="2">
        <v>45244</v>
      </c>
      <c r="B745" s="1">
        <v>110000</v>
      </c>
      <c r="C745" s="1" t="s">
        <v>33</v>
      </c>
      <c r="D745" s="1">
        <v>9439.36</v>
      </c>
      <c r="E745" s="1" t="s">
        <v>15</v>
      </c>
      <c r="F745" s="1" t="s">
        <v>18</v>
      </c>
      <c r="G745" s="1" t="s">
        <v>31</v>
      </c>
    </row>
    <row r="746" spans="1:7" x14ac:dyDescent="0.3">
      <c r="A746" s="2">
        <v>44978</v>
      </c>
      <c r="B746" s="1">
        <v>70000</v>
      </c>
      <c r="C746" s="1" t="s">
        <v>33</v>
      </c>
      <c r="D746" s="1">
        <v>4637.7</v>
      </c>
      <c r="E746" s="1" t="s">
        <v>15</v>
      </c>
      <c r="F746" s="1" t="s">
        <v>25</v>
      </c>
      <c r="G746" s="1" t="s">
        <v>24</v>
      </c>
    </row>
    <row r="747" spans="1:7" x14ac:dyDescent="0.3">
      <c r="A747" s="2">
        <v>45209</v>
      </c>
      <c r="B747" s="1">
        <v>60000</v>
      </c>
      <c r="C747" s="1" t="s">
        <v>33</v>
      </c>
      <c r="D747" s="1">
        <v>7822.12</v>
      </c>
      <c r="E747" s="1" t="s">
        <v>8</v>
      </c>
      <c r="F747" s="1" t="s">
        <v>11</v>
      </c>
      <c r="G747" s="1" t="s">
        <v>28</v>
      </c>
    </row>
    <row r="748" spans="1:7" x14ac:dyDescent="0.3">
      <c r="A748" s="2">
        <v>44972</v>
      </c>
      <c r="B748" s="1">
        <v>60000</v>
      </c>
      <c r="C748" s="1" t="s">
        <v>33</v>
      </c>
      <c r="D748" s="1">
        <v>9837.16</v>
      </c>
      <c r="E748" s="1" t="s">
        <v>8</v>
      </c>
      <c r="F748" s="1" t="s">
        <v>9</v>
      </c>
      <c r="G748" s="1" t="s">
        <v>24</v>
      </c>
    </row>
    <row r="749" spans="1:7" x14ac:dyDescent="0.3">
      <c r="A749" s="2">
        <v>45279</v>
      </c>
      <c r="B749" s="1">
        <v>70000</v>
      </c>
      <c r="C749" s="1" t="s">
        <v>33</v>
      </c>
      <c r="D749" s="1">
        <v>1803.58</v>
      </c>
      <c r="E749" s="1" t="s">
        <v>8</v>
      </c>
      <c r="F749" s="1" t="s">
        <v>9</v>
      </c>
      <c r="G749" s="1" t="s">
        <v>10</v>
      </c>
    </row>
    <row r="750" spans="1:7" x14ac:dyDescent="0.3">
      <c r="A750" s="2">
        <v>45175</v>
      </c>
      <c r="B750" s="1">
        <v>130000</v>
      </c>
      <c r="C750" s="1" t="s">
        <v>33</v>
      </c>
      <c r="D750" s="1">
        <v>3349.25</v>
      </c>
      <c r="E750" s="1" t="s">
        <v>15</v>
      </c>
      <c r="F750" s="1" t="s">
        <v>25</v>
      </c>
      <c r="G750" s="1" t="s">
        <v>27</v>
      </c>
    </row>
    <row r="751" spans="1:7" x14ac:dyDescent="0.3">
      <c r="A751" s="2">
        <v>45023</v>
      </c>
      <c r="B751" s="1">
        <v>70000</v>
      </c>
      <c r="C751" s="1" t="s">
        <v>33</v>
      </c>
      <c r="D751" s="1">
        <v>8417.2000000000007</v>
      </c>
      <c r="E751" s="1" t="s">
        <v>8</v>
      </c>
      <c r="F751" s="1" t="s">
        <v>9</v>
      </c>
      <c r="G751" s="1" t="s">
        <v>30</v>
      </c>
    </row>
    <row r="752" spans="1:7" x14ac:dyDescent="0.3">
      <c r="A752" s="2">
        <v>45144</v>
      </c>
      <c r="B752" s="1">
        <v>30000</v>
      </c>
      <c r="C752" s="1" t="s">
        <v>33</v>
      </c>
      <c r="D752" s="1">
        <v>9051.52</v>
      </c>
      <c r="E752" s="1" t="s">
        <v>8</v>
      </c>
      <c r="F752" s="1" t="s">
        <v>22</v>
      </c>
      <c r="G752" s="1" t="s">
        <v>21</v>
      </c>
    </row>
    <row r="753" spans="1:7" x14ac:dyDescent="0.3">
      <c r="A753" s="2">
        <v>45001</v>
      </c>
      <c r="B753" s="1">
        <v>60000</v>
      </c>
      <c r="C753" s="1" t="s">
        <v>33</v>
      </c>
      <c r="D753" s="1">
        <v>8527.99</v>
      </c>
      <c r="E753" s="1" t="s">
        <v>8</v>
      </c>
      <c r="F753" s="1" t="s">
        <v>9</v>
      </c>
      <c r="G753" s="1" t="s">
        <v>12</v>
      </c>
    </row>
    <row r="754" spans="1:7" x14ac:dyDescent="0.3">
      <c r="A754" s="2">
        <v>45287</v>
      </c>
      <c r="B754" s="1">
        <v>60000</v>
      </c>
      <c r="C754" s="1" t="s">
        <v>33</v>
      </c>
      <c r="D754" s="1">
        <v>7716.4</v>
      </c>
      <c r="E754" s="1" t="s">
        <v>8</v>
      </c>
      <c r="F754" s="1" t="s">
        <v>9</v>
      </c>
      <c r="G754" s="1" t="s">
        <v>10</v>
      </c>
    </row>
    <row r="755" spans="1:7" x14ac:dyDescent="0.3">
      <c r="A755" s="2">
        <v>45113</v>
      </c>
      <c r="B755" s="1">
        <v>40000</v>
      </c>
      <c r="C755" s="1" t="s">
        <v>33</v>
      </c>
      <c r="D755" s="1">
        <v>484.75</v>
      </c>
      <c r="E755" s="1" t="s">
        <v>15</v>
      </c>
      <c r="F755" s="1" t="s">
        <v>18</v>
      </c>
      <c r="G755" s="1" t="s">
        <v>29</v>
      </c>
    </row>
    <row r="756" spans="1:7" x14ac:dyDescent="0.3">
      <c r="A756" s="2">
        <v>45014</v>
      </c>
      <c r="B756" s="1">
        <v>40000</v>
      </c>
      <c r="C756" s="1" t="s">
        <v>33</v>
      </c>
      <c r="D756" s="1">
        <v>3771.03</v>
      </c>
      <c r="E756" s="1" t="s">
        <v>15</v>
      </c>
      <c r="F756" s="1" t="s">
        <v>32</v>
      </c>
      <c r="G756" s="1" t="s">
        <v>12</v>
      </c>
    </row>
    <row r="757" spans="1:7" x14ac:dyDescent="0.3">
      <c r="A757" s="2">
        <v>45212</v>
      </c>
      <c r="B757" s="1">
        <v>60000</v>
      </c>
      <c r="C757" s="1" t="s">
        <v>33</v>
      </c>
      <c r="D757" s="1">
        <v>1850.69</v>
      </c>
      <c r="E757" s="1" t="s">
        <v>8</v>
      </c>
      <c r="F757" s="1" t="s">
        <v>26</v>
      </c>
      <c r="G757" s="1" t="s">
        <v>28</v>
      </c>
    </row>
    <row r="758" spans="1:7" x14ac:dyDescent="0.3">
      <c r="A758" s="2">
        <v>45006</v>
      </c>
      <c r="B758" s="1">
        <v>40000</v>
      </c>
      <c r="C758" s="1" t="s">
        <v>33</v>
      </c>
      <c r="D758" s="1">
        <v>4264.38</v>
      </c>
      <c r="E758" s="1" t="s">
        <v>8</v>
      </c>
      <c r="F758" s="1" t="s">
        <v>22</v>
      </c>
      <c r="G758" s="1" t="s">
        <v>12</v>
      </c>
    </row>
    <row r="759" spans="1:7" x14ac:dyDescent="0.3">
      <c r="A759" s="2">
        <v>45182</v>
      </c>
      <c r="B759" s="1">
        <v>30000</v>
      </c>
      <c r="C759" s="1" t="s">
        <v>33</v>
      </c>
      <c r="D759" s="1">
        <v>5208.55</v>
      </c>
      <c r="E759" s="1" t="s">
        <v>15</v>
      </c>
      <c r="F759" s="1" t="s">
        <v>16</v>
      </c>
      <c r="G759" s="1" t="s">
        <v>27</v>
      </c>
    </row>
    <row r="760" spans="1:7" x14ac:dyDescent="0.3">
      <c r="A760" s="2">
        <v>45229</v>
      </c>
      <c r="B760" s="1">
        <v>80000</v>
      </c>
      <c r="C760" s="1" t="s">
        <v>33</v>
      </c>
      <c r="D760" s="1">
        <v>8185.17</v>
      </c>
      <c r="E760" s="1" t="s">
        <v>8</v>
      </c>
      <c r="F760" s="1" t="s">
        <v>13</v>
      </c>
      <c r="G760" s="1" t="s">
        <v>28</v>
      </c>
    </row>
    <row r="761" spans="1:7" x14ac:dyDescent="0.3">
      <c r="A761" s="2">
        <v>45024</v>
      </c>
      <c r="B761" s="1">
        <v>60000</v>
      </c>
      <c r="C761" s="1" t="s">
        <v>33</v>
      </c>
      <c r="D761" s="1">
        <v>4565.4799999999996</v>
      </c>
      <c r="E761" s="1" t="s">
        <v>15</v>
      </c>
      <c r="F761" s="1" t="s">
        <v>32</v>
      </c>
      <c r="G761" s="1" t="s">
        <v>30</v>
      </c>
    </row>
    <row r="762" spans="1:7" x14ac:dyDescent="0.3">
      <c r="A762" s="2">
        <v>44967</v>
      </c>
      <c r="B762" s="1">
        <v>20000</v>
      </c>
      <c r="C762" s="1" t="s">
        <v>33</v>
      </c>
      <c r="D762" s="1">
        <v>1802.99</v>
      </c>
      <c r="E762" s="1" t="s">
        <v>15</v>
      </c>
      <c r="F762" s="1" t="s">
        <v>18</v>
      </c>
      <c r="G762" s="1" t="s">
        <v>24</v>
      </c>
    </row>
    <row r="763" spans="1:7" x14ac:dyDescent="0.3">
      <c r="A763" s="2">
        <v>45088</v>
      </c>
      <c r="B763" s="1">
        <v>60000</v>
      </c>
      <c r="C763" s="1" t="s">
        <v>33</v>
      </c>
      <c r="D763" s="1">
        <v>2261.5700000000002</v>
      </c>
      <c r="E763" s="1" t="s">
        <v>15</v>
      </c>
      <c r="F763" s="1" t="s">
        <v>25</v>
      </c>
      <c r="G763" s="1" t="s">
        <v>23</v>
      </c>
    </row>
    <row r="764" spans="1:7" x14ac:dyDescent="0.3">
      <c r="A764" s="2">
        <v>44979</v>
      </c>
      <c r="B764" s="1">
        <v>50000</v>
      </c>
      <c r="C764" s="1" t="s">
        <v>33</v>
      </c>
      <c r="D764" s="1">
        <v>3548.79</v>
      </c>
      <c r="E764" s="1" t="s">
        <v>15</v>
      </c>
      <c r="F764" s="1" t="s">
        <v>25</v>
      </c>
      <c r="G764" s="1" t="s">
        <v>24</v>
      </c>
    </row>
    <row r="765" spans="1:7" x14ac:dyDescent="0.3">
      <c r="A765" s="2">
        <v>45151</v>
      </c>
      <c r="B765" s="1">
        <v>50000</v>
      </c>
      <c r="C765" s="1" t="s">
        <v>33</v>
      </c>
      <c r="D765" s="1">
        <v>3788.76</v>
      </c>
      <c r="E765" s="1" t="s">
        <v>8</v>
      </c>
      <c r="F765" s="1" t="s">
        <v>22</v>
      </c>
      <c r="G765" s="1" t="s">
        <v>21</v>
      </c>
    </row>
    <row r="766" spans="1:7" x14ac:dyDescent="0.3">
      <c r="A766" s="2">
        <v>45175</v>
      </c>
      <c r="B766" s="1">
        <v>60000</v>
      </c>
      <c r="C766" s="1" t="s">
        <v>33</v>
      </c>
      <c r="D766" s="1">
        <v>9860.1299999999992</v>
      </c>
      <c r="E766" s="1" t="s">
        <v>15</v>
      </c>
      <c r="F766" s="1" t="s">
        <v>18</v>
      </c>
      <c r="G766" s="1" t="s">
        <v>27</v>
      </c>
    </row>
    <row r="767" spans="1:7" x14ac:dyDescent="0.3">
      <c r="A767" s="2">
        <v>45062</v>
      </c>
      <c r="B767" s="1">
        <v>70000</v>
      </c>
      <c r="C767" s="1" t="s">
        <v>33</v>
      </c>
      <c r="D767" s="1">
        <v>4719.0600000000004</v>
      </c>
      <c r="E767" s="1" t="s">
        <v>15</v>
      </c>
      <c r="F767" s="1" t="s">
        <v>20</v>
      </c>
      <c r="G767" s="1" t="s">
        <v>17</v>
      </c>
    </row>
    <row r="768" spans="1:7" x14ac:dyDescent="0.3">
      <c r="A768" s="2">
        <v>44927</v>
      </c>
      <c r="B768" s="1">
        <v>50000</v>
      </c>
      <c r="C768" s="1" t="s">
        <v>33</v>
      </c>
      <c r="D768" s="1">
        <v>7245.28</v>
      </c>
      <c r="E768" s="1" t="s">
        <v>15</v>
      </c>
      <c r="F768" s="1" t="s">
        <v>20</v>
      </c>
      <c r="G768" s="1" t="s">
        <v>19</v>
      </c>
    </row>
    <row r="769" spans="1:7" x14ac:dyDescent="0.3">
      <c r="A769" s="2">
        <v>45066</v>
      </c>
      <c r="B769" s="1">
        <v>60000</v>
      </c>
      <c r="C769" s="1" t="s">
        <v>33</v>
      </c>
      <c r="D769" s="1">
        <v>1095.05</v>
      </c>
      <c r="E769" s="1" t="s">
        <v>8</v>
      </c>
      <c r="F769" s="1" t="s">
        <v>9</v>
      </c>
      <c r="G769" s="1" t="s">
        <v>17</v>
      </c>
    </row>
    <row r="770" spans="1:7" x14ac:dyDescent="0.3">
      <c r="A770" s="2">
        <v>45086</v>
      </c>
      <c r="B770" s="1">
        <v>120000</v>
      </c>
      <c r="C770" s="1" t="s">
        <v>33</v>
      </c>
      <c r="D770" s="1">
        <v>1767.18</v>
      </c>
      <c r="E770" s="1" t="s">
        <v>8</v>
      </c>
      <c r="F770" s="1" t="s">
        <v>22</v>
      </c>
      <c r="G770" s="1" t="s">
        <v>23</v>
      </c>
    </row>
    <row r="771" spans="1:7" x14ac:dyDescent="0.3">
      <c r="A771" s="2">
        <v>45109</v>
      </c>
      <c r="B771" s="1">
        <v>100000</v>
      </c>
      <c r="C771" s="1" t="s">
        <v>33</v>
      </c>
      <c r="D771" s="1">
        <v>5823.39</v>
      </c>
      <c r="E771" s="1" t="s">
        <v>8</v>
      </c>
      <c r="F771" s="1" t="s">
        <v>13</v>
      </c>
      <c r="G771" s="1" t="s">
        <v>29</v>
      </c>
    </row>
    <row r="772" spans="1:7" x14ac:dyDescent="0.3">
      <c r="A772" s="2">
        <v>45289</v>
      </c>
      <c r="B772" s="1">
        <v>60000</v>
      </c>
      <c r="C772" s="1" t="s">
        <v>33</v>
      </c>
      <c r="D772" s="1">
        <v>5148.3900000000003</v>
      </c>
      <c r="E772" s="1" t="s">
        <v>15</v>
      </c>
      <c r="F772" s="1" t="s">
        <v>25</v>
      </c>
      <c r="G772" s="1" t="s">
        <v>10</v>
      </c>
    </row>
    <row r="773" spans="1:7" x14ac:dyDescent="0.3">
      <c r="A773" s="2">
        <v>45046</v>
      </c>
      <c r="B773" s="1">
        <v>80000</v>
      </c>
      <c r="C773" s="1" t="s">
        <v>33</v>
      </c>
      <c r="D773" s="1">
        <v>7447.75</v>
      </c>
      <c r="E773" s="1" t="s">
        <v>8</v>
      </c>
      <c r="F773" s="1" t="s">
        <v>22</v>
      </c>
      <c r="G773" s="1" t="s">
        <v>30</v>
      </c>
    </row>
    <row r="774" spans="1:7" x14ac:dyDescent="0.3">
      <c r="A774" s="2">
        <v>45254</v>
      </c>
      <c r="B774" s="1">
        <v>60000</v>
      </c>
      <c r="C774" s="1" t="s">
        <v>33</v>
      </c>
      <c r="D774" s="1">
        <v>9894.4599999999991</v>
      </c>
      <c r="E774" s="1" t="s">
        <v>8</v>
      </c>
      <c r="F774" s="1" t="s">
        <v>9</v>
      </c>
      <c r="G774" s="1" t="s">
        <v>31</v>
      </c>
    </row>
    <row r="775" spans="1:7" x14ac:dyDescent="0.3">
      <c r="A775" s="2">
        <v>45114</v>
      </c>
      <c r="B775" s="1">
        <v>60000</v>
      </c>
      <c r="C775" s="1" t="s">
        <v>33</v>
      </c>
      <c r="D775" s="1">
        <v>1996.76</v>
      </c>
      <c r="E775" s="1" t="s">
        <v>15</v>
      </c>
      <c r="F775" s="1" t="s">
        <v>18</v>
      </c>
      <c r="G775" s="1" t="s">
        <v>29</v>
      </c>
    </row>
    <row r="776" spans="1:7" x14ac:dyDescent="0.3">
      <c r="A776" s="2">
        <v>45121</v>
      </c>
      <c r="B776" s="1">
        <v>80000</v>
      </c>
      <c r="C776" s="1" t="s">
        <v>33</v>
      </c>
      <c r="D776" s="1">
        <v>3291.49</v>
      </c>
      <c r="E776" s="1" t="s">
        <v>15</v>
      </c>
      <c r="F776" s="1" t="s">
        <v>16</v>
      </c>
      <c r="G776" s="1" t="s">
        <v>29</v>
      </c>
    </row>
    <row r="777" spans="1:7" x14ac:dyDescent="0.3">
      <c r="A777" s="2">
        <v>44997</v>
      </c>
      <c r="B777" s="1">
        <v>70000</v>
      </c>
      <c r="C777" s="1" t="s">
        <v>33</v>
      </c>
      <c r="D777" s="1">
        <v>4231.83</v>
      </c>
      <c r="E777" s="1" t="s">
        <v>15</v>
      </c>
      <c r="F777" s="1" t="s">
        <v>32</v>
      </c>
      <c r="G777" s="1" t="s">
        <v>12</v>
      </c>
    </row>
    <row r="778" spans="1:7" x14ac:dyDescent="0.3">
      <c r="A778" s="2">
        <v>45010</v>
      </c>
      <c r="B778" s="1">
        <v>70000</v>
      </c>
      <c r="C778" s="1" t="s">
        <v>33</v>
      </c>
      <c r="D778" s="1">
        <v>7770.78</v>
      </c>
      <c r="E778" s="1" t="s">
        <v>15</v>
      </c>
      <c r="F778" s="1" t="s">
        <v>16</v>
      </c>
      <c r="G778" s="1" t="s">
        <v>12</v>
      </c>
    </row>
    <row r="779" spans="1:7" x14ac:dyDescent="0.3">
      <c r="A779" s="2">
        <v>45204</v>
      </c>
      <c r="B779" s="1">
        <v>40000</v>
      </c>
      <c r="C779" s="1" t="s">
        <v>33</v>
      </c>
      <c r="D779" s="1">
        <v>2282.11</v>
      </c>
      <c r="E779" s="1" t="s">
        <v>15</v>
      </c>
      <c r="F779" s="1" t="s">
        <v>18</v>
      </c>
      <c r="G779" s="1" t="s">
        <v>28</v>
      </c>
    </row>
    <row r="780" spans="1:7" x14ac:dyDescent="0.3">
      <c r="A780" s="2">
        <v>45021</v>
      </c>
      <c r="B780" s="1">
        <v>90000</v>
      </c>
      <c r="C780" s="1" t="s">
        <v>33</v>
      </c>
      <c r="D780" s="1">
        <v>1228.43</v>
      </c>
      <c r="E780" s="1" t="s">
        <v>15</v>
      </c>
      <c r="F780" s="1" t="s">
        <v>20</v>
      </c>
      <c r="G780" s="1" t="s">
        <v>30</v>
      </c>
    </row>
    <row r="781" spans="1:7" x14ac:dyDescent="0.3">
      <c r="A781" s="2">
        <v>45178</v>
      </c>
      <c r="B781" s="1">
        <v>80000</v>
      </c>
      <c r="C781" s="1" t="s">
        <v>33</v>
      </c>
      <c r="D781" s="1">
        <v>230.17</v>
      </c>
      <c r="E781" s="1" t="s">
        <v>15</v>
      </c>
      <c r="F781" s="1" t="s">
        <v>32</v>
      </c>
      <c r="G781" s="1" t="s">
        <v>27</v>
      </c>
    </row>
    <row r="782" spans="1:7" x14ac:dyDescent="0.3">
      <c r="A782" s="2">
        <v>45229</v>
      </c>
      <c r="B782" s="1">
        <v>60000</v>
      </c>
      <c r="C782" s="1" t="s">
        <v>33</v>
      </c>
      <c r="D782" s="1">
        <v>4681.72</v>
      </c>
      <c r="E782" s="1" t="s">
        <v>15</v>
      </c>
      <c r="F782" s="1" t="s">
        <v>32</v>
      </c>
      <c r="G782" s="1" t="s">
        <v>28</v>
      </c>
    </row>
    <row r="783" spans="1:7" x14ac:dyDescent="0.3">
      <c r="A783" s="2">
        <v>45174</v>
      </c>
      <c r="B783" s="1">
        <v>80000</v>
      </c>
      <c r="C783" s="1" t="s">
        <v>33</v>
      </c>
      <c r="D783" s="1">
        <v>9280.09</v>
      </c>
      <c r="E783" s="1" t="s">
        <v>8</v>
      </c>
      <c r="F783" s="1" t="s">
        <v>22</v>
      </c>
      <c r="G783" s="1" t="s">
        <v>27</v>
      </c>
    </row>
    <row r="784" spans="1:7" x14ac:dyDescent="0.3">
      <c r="A784" s="2">
        <v>45011</v>
      </c>
      <c r="B784" s="1">
        <v>70000</v>
      </c>
      <c r="C784" s="1" t="s">
        <v>33</v>
      </c>
      <c r="D784" s="1">
        <v>7765.86</v>
      </c>
      <c r="E784" s="1" t="s">
        <v>15</v>
      </c>
      <c r="F784" s="1" t="s">
        <v>32</v>
      </c>
      <c r="G784" s="1" t="s">
        <v>12</v>
      </c>
    </row>
    <row r="785" spans="1:7" x14ac:dyDescent="0.3">
      <c r="A785" s="2">
        <v>45022</v>
      </c>
      <c r="B785" s="1">
        <v>60000</v>
      </c>
      <c r="C785" s="1" t="s">
        <v>33</v>
      </c>
      <c r="D785" s="1">
        <v>5074.3900000000003</v>
      </c>
      <c r="E785" s="1" t="s">
        <v>15</v>
      </c>
      <c r="F785" s="1" t="s">
        <v>16</v>
      </c>
      <c r="G785" s="1" t="s">
        <v>30</v>
      </c>
    </row>
    <row r="786" spans="1:7" x14ac:dyDescent="0.3">
      <c r="A786" s="2">
        <v>45269</v>
      </c>
      <c r="B786" s="1">
        <v>10000</v>
      </c>
      <c r="C786" s="1" t="s">
        <v>33</v>
      </c>
      <c r="D786" s="1">
        <v>3281.64</v>
      </c>
      <c r="E786" s="1" t="s">
        <v>8</v>
      </c>
      <c r="F786" s="1" t="s">
        <v>22</v>
      </c>
      <c r="G786" s="1" t="s">
        <v>10</v>
      </c>
    </row>
    <row r="787" spans="1:7" x14ac:dyDescent="0.3">
      <c r="A787" s="2">
        <v>45038</v>
      </c>
      <c r="B787" s="1">
        <v>40000</v>
      </c>
      <c r="C787" s="1" t="s">
        <v>33</v>
      </c>
      <c r="D787" s="1">
        <v>1035.8399999999999</v>
      </c>
      <c r="E787" s="1" t="s">
        <v>8</v>
      </c>
      <c r="F787" s="1" t="s">
        <v>22</v>
      </c>
      <c r="G787" s="1" t="s">
        <v>30</v>
      </c>
    </row>
    <row r="788" spans="1:7" x14ac:dyDescent="0.3">
      <c r="A788" s="2">
        <v>45135</v>
      </c>
      <c r="B788" s="1">
        <v>50000</v>
      </c>
      <c r="C788" s="1" t="s">
        <v>33</v>
      </c>
      <c r="D788" s="1">
        <v>680.32</v>
      </c>
      <c r="E788" s="1" t="s">
        <v>15</v>
      </c>
      <c r="F788" s="1" t="s">
        <v>18</v>
      </c>
      <c r="G788" s="1" t="s">
        <v>29</v>
      </c>
    </row>
    <row r="789" spans="1:7" x14ac:dyDescent="0.3">
      <c r="A789" s="2">
        <v>45129</v>
      </c>
      <c r="B789" s="1">
        <v>70000</v>
      </c>
      <c r="C789" s="1" t="s">
        <v>33</v>
      </c>
      <c r="D789" s="1">
        <v>2421.2600000000002</v>
      </c>
      <c r="E789" s="1" t="s">
        <v>15</v>
      </c>
      <c r="F789" s="1" t="s">
        <v>25</v>
      </c>
      <c r="G789" s="1" t="s">
        <v>29</v>
      </c>
    </row>
    <row r="790" spans="1:7" x14ac:dyDescent="0.3">
      <c r="A790" s="2">
        <v>45107</v>
      </c>
      <c r="B790" s="1">
        <v>20000</v>
      </c>
      <c r="C790" s="1" t="s">
        <v>33</v>
      </c>
      <c r="D790" s="1">
        <v>4298.0600000000004</v>
      </c>
      <c r="E790" s="1" t="s">
        <v>15</v>
      </c>
      <c r="F790" s="1" t="s">
        <v>16</v>
      </c>
      <c r="G790" s="1" t="s">
        <v>23</v>
      </c>
    </row>
    <row r="791" spans="1:7" x14ac:dyDescent="0.3">
      <c r="A791" s="2">
        <v>45061</v>
      </c>
      <c r="B791" s="1">
        <v>60000</v>
      </c>
      <c r="C791" s="1" t="s">
        <v>33</v>
      </c>
      <c r="D791" s="1">
        <v>2321.39</v>
      </c>
      <c r="E791" s="1" t="s">
        <v>15</v>
      </c>
      <c r="F791" s="1" t="s">
        <v>18</v>
      </c>
      <c r="G791" s="1" t="s">
        <v>17</v>
      </c>
    </row>
    <row r="792" spans="1:7" x14ac:dyDescent="0.3">
      <c r="A792" s="2">
        <v>45167</v>
      </c>
      <c r="B792" s="1">
        <v>80000</v>
      </c>
      <c r="C792" s="1" t="s">
        <v>33</v>
      </c>
      <c r="D792" s="1">
        <v>3401.55</v>
      </c>
      <c r="E792" s="1" t="s">
        <v>15</v>
      </c>
      <c r="F792" s="1" t="s">
        <v>18</v>
      </c>
      <c r="G792" s="1" t="s">
        <v>21</v>
      </c>
    </row>
    <row r="793" spans="1:7" x14ac:dyDescent="0.3">
      <c r="A793" s="2">
        <v>45073</v>
      </c>
      <c r="B793" s="1">
        <v>40000</v>
      </c>
      <c r="C793" s="1" t="s">
        <v>33</v>
      </c>
      <c r="D793" s="1">
        <v>5613.66</v>
      </c>
      <c r="E793" s="1" t="s">
        <v>8</v>
      </c>
      <c r="F793" s="1" t="s">
        <v>26</v>
      </c>
      <c r="G793" s="1" t="s">
        <v>17</v>
      </c>
    </row>
    <row r="794" spans="1:7" x14ac:dyDescent="0.3">
      <c r="A794" s="2">
        <v>44986</v>
      </c>
      <c r="B794" s="1">
        <v>30000</v>
      </c>
      <c r="C794" s="1" t="s">
        <v>33</v>
      </c>
      <c r="D794" s="1">
        <v>8227.49</v>
      </c>
      <c r="E794" s="1" t="s">
        <v>15</v>
      </c>
      <c r="F794" s="1" t="s">
        <v>20</v>
      </c>
      <c r="G794" s="1" t="s">
        <v>12</v>
      </c>
    </row>
    <row r="795" spans="1:7" x14ac:dyDescent="0.3">
      <c r="A795" s="2">
        <v>45229</v>
      </c>
      <c r="B795" s="1">
        <v>30000</v>
      </c>
      <c r="C795" s="1" t="s">
        <v>33</v>
      </c>
      <c r="D795" s="1">
        <v>9743.73</v>
      </c>
      <c r="E795" s="1" t="s">
        <v>15</v>
      </c>
      <c r="F795" s="1" t="s">
        <v>18</v>
      </c>
      <c r="G795" s="1" t="s">
        <v>28</v>
      </c>
    </row>
    <row r="796" spans="1:7" x14ac:dyDescent="0.3">
      <c r="A796" s="2">
        <v>44942</v>
      </c>
      <c r="B796" s="1">
        <v>50000</v>
      </c>
      <c r="C796" s="1" t="s">
        <v>33</v>
      </c>
      <c r="D796" s="1">
        <v>2093.21</v>
      </c>
      <c r="E796" s="1" t="s">
        <v>8</v>
      </c>
      <c r="F796" s="1" t="s">
        <v>13</v>
      </c>
      <c r="G796" s="1" t="s">
        <v>19</v>
      </c>
    </row>
    <row r="797" spans="1:7" x14ac:dyDescent="0.3">
      <c r="A797" s="2">
        <v>44940</v>
      </c>
      <c r="B797" s="1">
        <v>60000</v>
      </c>
      <c r="C797" s="1" t="s">
        <v>33</v>
      </c>
      <c r="D797" s="1">
        <v>3010.57</v>
      </c>
      <c r="E797" s="1" t="s">
        <v>8</v>
      </c>
      <c r="F797" s="1" t="s">
        <v>26</v>
      </c>
      <c r="G797" s="1" t="s">
        <v>19</v>
      </c>
    </row>
    <row r="798" spans="1:7" x14ac:dyDescent="0.3">
      <c r="A798" s="2">
        <v>45222</v>
      </c>
      <c r="B798" s="1">
        <v>70000</v>
      </c>
      <c r="C798" s="1" t="s">
        <v>33</v>
      </c>
      <c r="D798" s="1">
        <v>2070.65</v>
      </c>
      <c r="E798" s="1" t="s">
        <v>8</v>
      </c>
      <c r="F798" s="1" t="s">
        <v>26</v>
      </c>
      <c r="G798" s="1" t="s">
        <v>28</v>
      </c>
    </row>
    <row r="799" spans="1:7" x14ac:dyDescent="0.3">
      <c r="A799" s="2">
        <v>45040</v>
      </c>
      <c r="B799" s="1">
        <v>60000</v>
      </c>
      <c r="C799" s="1" t="s">
        <v>33</v>
      </c>
      <c r="D799" s="1">
        <v>3181.31</v>
      </c>
      <c r="E799" s="1" t="s">
        <v>15</v>
      </c>
      <c r="F799" s="1" t="s">
        <v>18</v>
      </c>
      <c r="G799" s="1" t="s">
        <v>30</v>
      </c>
    </row>
    <row r="800" spans="1:7" x14ac:dyDescent="0.3">
      <c r="A800" s="2">
        <v>44978</v>
      </c>
      <c r="B800" s="1">
        <v>30000</v>
      </c>
      <c r="C800" s="1" t="s">
        <v>33</v>
      </c>
      <c r="D800" s="1">
        <v>2312.27</v>
      </c>
      <c r="E800" s="1" t="s">
        <v>8</v>
      </c>
      <c r="F800" s="1" t="s">
        <v>9</v>
      </c>
      <c r="G800" s="1" t="s">
        <v>24</v>
      </c>
    </row>
    <row r="801" spans="1:7" x14ac:dyDescent="0.3">
      <c r="A801" s="2">
        <v>45177</v>
      </c>
      <c r="B801" s="1">
        <v>50000</v>
      </c>
      <c r="C801" s="1" t="s">
        <v>33</v>
      </c>
      <c r="D801" s="1">
        <v>1935.63</v>
      </c>
      <c r="E801" s="1" t="s">
        <v>8</v>
      </c>
      <c r="F801" s="1" t="s">
        <v>13</v>
      </c>
      <c r="G801" s="1" t="s">
        <v>27</v>
      </c>
    </row>
    <row r="802" spans="1:7" x14ac:dyDescent="0.3">
      <c r="A802" s="2">
        <v>45041</v>
      </c>
      <c r="B802" s="1">
        <v>60000</v>
      </c>
      <c r="C802" s="1" t="s">
        <v>33</v>
      </c>
      <c r="D802" s="1">
        <v>7384.37</v>
      </c>
      <c r="E802" s="1" t="s">
        <v>8</v>
      </c>
      <c r="F802" s="1" t="s">
        <v>9</v>
      </c>
      <c r="G802" s="1" t="s">
        <v>30</v>
      </c>
    </row>
    <row r="803" spans="1:7" x14ac:dyDescent="0.3">
      <c r="A803" s="2">
        <v>44972</v>
      </c>
      <c r="B803" s="1">
        <v>70000</v>
      </c>
      <c r="C803" s="1" t="s">
        <v>33</v>
      </c>
      <c r="D803" s="1">
        <v>929.78</v>
      </c>
      <c r="E803" s="1" t="s">
        <v>15</v>
      </c>
      <c r="F803" s="1" t="s">
        <v>25</v>
      </c>
      <c r="G803" s="1" t="s">
        <v>24</v>
      </c>
    </row>
    <row r="804" spans="1:7" x14ac:dyDescent="0.3">
      <c r="A804" s="2">
        <v>45088</v>
      </c>
      <c r="B804" s="1">
        <v>40000</v>
      </c>
      <c r="C804" s="1" t="s">
        <v>33</v>
      </c>
      <c r="D804" s="1">
        <v>7879.03</v>
      </c>
      <c r="E804" s="1" t="s">
        <v>8</v>
      </c>
      <c r="F804" s="1" t="s">
        <v>11</v>
      </c>
      <c r="G804" s="1" t="s">
        <v>23</v>
      </c>
    </row>
    <row r="805" spans="1:7" x14ac:dyDescent="0.3">
      <c r="A805" s="2">
        <v>45140</v>
      </c>
      <c r="B805" s="1">
        <v>40000</v>
      </c>
      <c r="C805" s="1" t="s">
        <v>33</v>
      </c>
      <c r="D805" s="1">
        <v>4930.8999999999996</v>
      </c>
      <c r="E805" s="1" t="s">
        <v>15</v>
      </c>
      <c r="F805" s="1" t="s">
        <v>18</v>
      </c>
      <c r="G805" s="1" t="s">
        <v>21</v>
      </c>
    </row>
    <row r="806" spans="1:7" x14ac:dyDescent="0.3">
      <c r="A806" s="2">
        <v>44982</v>
      </c>
      <c r="B806" s="1">
        <v>40000</v>
      </c>
      <c r="C806" s="1" t="s">
        <v>33</v>
      </c>
      <c r="D806" s="1">
        <v>6608.48</v>
      </c>
      <c r="E806" s="1" t="s">
        <v>8</v>
      </c>
      <c r="F806" s="1" t="s">
        <v>22</v>
      </c>
      <c r="G806" s="1" t="s">
        <v>24</v>
      </c>
    </row>
    <row r="807" spans="1:7" x14ac:dyDescent="0.3">
      <c r="A807" s="2">
        <v>45021</v>
      </c>
      <c r="B807" s="1">
        <v>40000</v>
      </c>
      <c r="C807" s="1" t="s">
        <v>33</v>
      </c>
      <c r="D807" s="1">
        <v>8861.74</v>
      </c>
      <c r="E807" s="1" t="s">
        <v>8</v>
      </c>
      <c r="F807" s="1" t="s">
        <v>9</v>
      </c>
      <c r="G807" s="1" t="s">
        <v>30</v>
      </c>
    </row>
    <row r="808" spans="1:7" x14ac:dyDescent="0.3">
      <c r="A808" s="2">
        <v>45031</v>
      </c>
      <c r="B808" s="1">
        <v>10000</v>
      </c>
      <c r="C808" s="1" t="s">
        <v>33</v>
      </c>
      <c r="D808" s="1">
        <v>7533.71</v>
      </c>
      <c r="E808" s="1" t="s">
        <v>15</v>
      </c>
      <c r="F808" s="1" t="s">
        <v>18</v>
      </c>
      <c r="G808" s="1" t="s">
        <v>30</v>
      </c>
    </row>
    <row r="809" spans="1:7" x14ac:dyDescent="0.3">
      <c r="A809" s="2">
        <v>45074</v>
      </c>
      <c r="B809" s="1">
        <v>60000</v>
      </c>
      <c r="C809" s="1" t="s">
        <v>33</v>
      </c>
      <c r="D809" s="1">
        <v>8144.06</v>
      </c>
      <c r="E809" s="1" t="s">
        <v>15</v>
      </c>
      <c r="F809" s="1" t="s">
        <v>25</v>
      </c>
      <c r="G809" s="1" t="s">
        <v>17</v>
      </c>
    </row>
    <row r="810" spans="1:7" x14ac:dyDescent="0.3">
      <c r="A810" s="2">
        <v>45092</v>
      </c>
      <c r="B810" s="1">
        <v>30000</v>
      </c>
      <c r="C810" s="1" t="s">
        <v>33</v>
      </c>
      <c r="D810" s="1">
        <v>3793.63</v>
      </c>
      <c r="E810" s="1" t="s">
        <v>8</v>
      </c>
      <c r="F810" s="1" t="s">
        <v>22</v>
      </c>
      <c r="G810" s="1" t="s">
        <v>23</v>
      </c>
    </row>
    <row r="811" spans="1:7" x14ac:dyDescent="0.3">
      <c r="A811" s="2">
        <v>45186</v>
      </c>
      <c r="B811" s="1">
        <v>40000</v>
      </c>
      <c r="C811" s="1" t="s">
        <v>33</v>
      </c>
      <c r="D811" s="1">
        <v>3963.05</v>
      </c>
      <c r="E811" s="1" t="s">
        <v>8</v>
      </c>
      <c r="F811" s="1" t="s">
        <v>9</v>
      </c>
      <c r="G811" s="1" t="s">
        <v>27</v>
      </c>
    </row>
    <row r="812" spans="1:7" x14ac:dyDescent="0.3">
      <c r="A812" s="2">
        <v>45146</v>
      </c>
      <c r="B812" s="1">
        <v>70000</v>
      </c>
      <c r="C812" s="1" t="s">
        <v>33</v>
      </c>
      <c r="D812" s="1">
        <v>7854.18</v>
      </c>
      <c r="E812" s="1" t="s">
        <v>8</v>
      </c>
      <c r="F812" s="1" t="s">
        <v>9</v>
      </c>
      <c r="G812" s="1" t="s">
        <v>21</v>
      </c>
    </row>
    <row r="813" spans="1:7" x14ac:dyDescent="0.3">
      <c r="A813" s="2">
        <v>45060</v>
      </c>
      <c r="B813" s="1">
        <v>60000</v>
      </c>
      <c r="C813" s="1" t="s">
        <v>33</v>
      </c>
      <c r="D813" s="1">
        <v>8813.44</v>
      </c>
      <c r="E813" s="1" t="s">
        <v>15</v>
      </c>
      <c r="F813" s="1" t="s">
        <v>20</v>
      </c>
      <c r="G813" s="1" t="s">
        <v>17</v>
      </c>
    </row>
    <row r="814" spans="1:7" x14ac:dyDescent="0.3">
      <c r="A814" s="2">
        <v>45207</v>
      </c>
      <c r="B814" s="1">
        <v>70000</v>
      </c>
      <c r="C814" s="1" t="s">
        <v>33</v>
      </c>
      <c r="D814" s="1">
        <v>2865.33</v>
      </c>
      <c r="E814" s="1" t="s">
        <v>15</v>
      </c>
      <c r="F814" s="1" t="s">
        <v>18</v>
      </c>
      <c r="G814" s="1" t="s">
        <v>28</v>
      </c>
    </row>
    <row r="815" spans="1:7" x14ac:dyDescent="0.3">
      <c r="A815" s="2">
        <v>44967</v>
      </c>
      <c r="B815" s="1">
        <v>70000</v>
      </c>
      <c r="C815" s="1" t="s">
        <v>33</v>
      </c>
      <c r="D815" s="1">
        <v>4072.04</v>
      </c>
      <c r="E815" s="1" t="s">
        <v>15</v>
      </c>
      <c r="F815" s="1" t="s">
        <v>32</v>
      </c>
      <c r="G815" s="1" t="s">
        <v>24</v>
      </c>
    </row>
    <row r="816" spans="1:7" x14ac:dyDescent="0.3">
      <c r="A816" s="2">
        <v>45011</v>
      </c>
      <c r="B816" s="1">
        <v>70000</v>
      </c>
      <c r="C816" s="1" t="s">
        <v>33</v>
      </c>
      <c r="D816" s="1">
        <v>7451.54</v>
      </c>
      <c r="E816" s="1" t="s">
        <v>8</v>
      </c>
      <c r="F816" s="1" t="s">
        <v>13</v>
      </c>
      <c r="G816" s="1" t="s">
        <v>12</v>
      </c>
    </row>
    <row r="817" spans="1:7" x14ac:dyDescent="0.3">
      <c r="A817" s="2">
        <v>44959</v>
      </c>
      <c r="B817" s="1">
        <v>40000</v>
      </c>
      <c r="C817" s="1" t="s">
        <v>33</v>
      </c>
      <c r="D817" s="1">
        <v>1555.39</v>
      </c>
      <c r="E817" s="1" t="s">
        <v>15</v>
      </c>
      <c r="F817" s="1" t="s">
        <v>16</v>
      </c>
      <c r="G817" s="1" t="s">
        <v>24</v>
      </c>
    </row>
    <row r="818" spans="1:7" x14ac:dyDescent="0.3">
      <c r="A818" s="2">
        <v>45123</v>
      </c>
      <c r="B818" s="1">
        <v>60000</v>
      </c>
      <c r="C818" s="1" t="s">
        <v>33</v>
      </c>
      <c r="D818" s="1">
        <v>7681.6</v>
      </c>
      <c r="E818" s="1" t="s">
        <v>8</v>
      </c>
      <c r="F818" s="1" t="s">
        <v>22</v>
      </c>
      <c r="G818" s="1" t="s">
        <v>29</v>
      </c>
    </row>
    <row r="819" spans="1:7" x14ac:dyDescent="0.3">
      <c r="A819" s="2">
        <v>45005</v>
      </c>
      <c r="B819" s="1">
        <v>60000</v>
      </c>
      <c r="C819" s="1" t="s">
        <v>33</v>
      </c>
      <c r="D819" s="1">
        <v>6202.21</v>
      </c>
      <c r="E819" s="1" t="s">
        <v>15</v>
      </c>
      <c r="F819" s="1" t="s">
        <v>32</v>
      </c>
      <c r="G819" s="1" t="s">
        <v>12</v>
      </c>
    </row>
    <row r="820" spans="1:7" x14ac:dyDescent="0.3">
      <c r="A820" s="2">
        <v>45214</v>
      </c>
      <c r="B820" s="1">
        <v>40000</v>
      </c>
      <c r="C820" s="1" t="s">
        <v>33</v>
      </c>
      <c r="D820" s="1">
        <v>1758.57</v>
      </c>
      <c r="E820" s="1" t="s">
        <v>8</v>
      </c>
      <c r="F820" s="1" t="s">
        <v>9</v>
      </c>
      <c r="G820" s="1" t="s">
        <v>28</v>
      </c>
    </row>
    <row r="821" spans="1:7" x14ac:dyDescent="0.3">
      <c r="A821" s="2">
        <v>45221</v>
      </c>
      <c r="B821" s="1">
        <v>40000</v>
      </c>
      <c r="C821" s="1" t="s">
        <v>33</v>
      </c>
      <c r="D821" s="1">
        <v>5503.34</v>
      </c>
      <c r="E821" s="1" t="s">
        <v>15</v>
      </c>
      <c r="F821" s="1" t="s">
        <v>18</v>
      </c>
      <c r="G821" s="1" t="s">
        <v>28</v>
      </c>
    </row>
    <row r="822" spans="1:7" x14ac:dyDescent="0.3">
      <c r="A822" s="2">
        <v>45284</v>
      </c>
      <c r="B822" s="1">
        <v>110000</v>
      </c>
      <c r="C822" s="1" t="s">
        <v>33</v>
      </c>
      <c r="D822" s="1">
        <v>4940.7700000000004</v>
      </c>
      <c r="E822" s="1" t="s">
        <v>15</v>
      </c>
      <c r="F822" s="1" t="s">
        <v>32</v>
      </c>
      <c r="G822" s="1" t="s">
        <v>10</v>
      </c>
    </row>
    <row r="823" spans="1:7" x14ac:dyDescent="0.3">
      <c r="A823" s="2">
        <v>44938</v>
      </c>
      <c r="B823" s="1">
        <v>60000</v>
      </c>
      <c r="C823" s="1" t="s">
        <v>33</v>
      </c>
      <c r="D823" s="1">
        <v>1466.63</v>
      </c>
      <c r="E823" s="1" t="s">
        <v>15</v>
      </c>
      <c r="F823" s="1" t="s">
        <v>20</v>
      </c>
      <c r="G823" s="1" t="s">
        <v>19</v>
      </c>
    </row>
    <row r="824" spans="1:7" x14ac:dyDescent="0.3">
      <c r="A824" s="2">
        <v>45214</v>
      </c>
      <c r="B824" s="1">
        <v>30000</v>
      </c>
      <c r="C824" s="1" t="s">
        <v>33</v>
      </c>
      <c r="D824" s="1">
        <v>4412.63</v>
      </c>
      <c r="E824" s="1" t="s">
        <v>15</v>
      </c>
      <c r="F824" s="1" t="s">
        <v>16</v>
      </c>
      <c r="G824" s="1" t="s">
        <v>28</v>
      </c>
    </row>
    <row r="825" spans="1:7" x14ac:dyDescent="0.3">
      <c r="A825" s="2">
        <v>45235</v>
      </c>
      <c r="B825" s="1">
        <v>70000</v>
      </c>
      <c r="C825" s="1" t="s">
        <v>33</v>
      </c>
      <c r="D825" s="1">
        <v>6234.4</v>
      </c>
      <c r="E825" s="1" t="s">
        <v>15</v>
      </c>
      <c r="F825" s="1" t="s">
        <v>25</v>
      </c>
      <c r="G825" s="1" t="s">
        <v>31</v>
      </c>
    </row>
    <row r="826" spans="1:7" x14ac:dyDescent="0.3">
      <c r="A826" s="2">
        <v>45280</v>
      </c>
      <c r="B826" s="1">
        <v>110000</v>
      </c>
      <c r="C826" s="1" t="s">
        <v>33</v>
      </c>
      <c r="D826" s="1">
        <v>345.96</v>
      </c>
      <c r="E826" s="1" t="s">
        <v>8</v>
      </c>
      <c r="F826" s="1" t="s">
        <v>26</v>
      </c>
      <c r="G826" s="1" t="s">
        <v>10</v>
      </c>
    </row>
    <row r="827" spans="1:7" x14ac:dyDescent="0.3">
      <c r="A827" s="2">
        <v>45180</v>
      </c>
      <c r="B827" s="1">
        <v>70000</v>
      </c>
      <c r="C827" s="1" t="s">
        <v>33</v>
      </c>
      <c r="D827" s="1">
        <v>4869.8599999999997</v>
      </c>
      <c r="E827" s="1" t="s">
        <v>15</v>
      </c>
      <c r="F827" s="1" t="s">
        <v>20</v>
      </c>
      <c r="G827" s="1" t="s">
        <v>27</v>
      </c>
    </row>
    <row r="828" spans="1:7" x14ac:dyDescent="0.3">
      <c r="A828" s="2">
        <v>45203</v>
      </c>
      <c r="B828" s="1">
        <v>70000</v>
      </c>
      <c r="C828" s="1" t="s">
        <v>33</v>
      </c>
      <c r="D828" s="1">
        <v>6089.91</v>
      </c>
      <c r="E828" s="1" t="s">
        <v>8</v>
      </c>
      <c r="F828" s="1" t="s">
        <v>13</v>
      </c>
      <c r="G828" s="1" t="s">
        <v>28</v>
      </c>
    </row>
    <row r="829" spans="1:7" x14ac:dyDescent="0.3">
      <c r="A829" s="2">
        <v>45062</v>
      </c>
      <c r="B829" s="1">
        <v>80000</v>
      </c>
      <c r="C829" s="1" t="s">
        <v>33</v>
      </c>
      <c r="D829" s="1">
        <v>3111.04</v>
      </c>
      <c r="E829" s="1" t="s">
        <v>15</v>
      </c>
      <c r="F829" s="1" t="s">
        <v>16</v>
      </c>
      <c r="G829" s="1" t="s">
        <v>17</v>
      </c>
    </row>
    <row r="830" spans="1:7" x14ac:dyDescent="0.3">
      <c r="A830" s="2">
        <v>44996</v>
      </c>
      <c r="B830" s="1">
        <v>40000</v>
      </c>
      <c r="C830" s="1" t="s">
        <v>33</v>
      </c>
      <c r="D830" s="1">
        <v>452.35</v>
      </c>
      <c r="E830" s="1" t="s">
        <v>8</v>
      </c>
      <c r="F830" s="1" t="s">
        <v>26</v>
      </c>
      <c r="G830" s="1" t="s">
        <v>12</v>
      </c>
    </row>
    <row r="831" spans="1:7" x14ac:dyDescent="0.3">
      <c r="A831" s="2">
        <v>45164</v>
      </c>
      <c r="B831" s="1">
        <v>170000</v>
      </c>
      <c r="C831" s="1" t="s">
        <v>33</v>
      </c>
      <c r="D831" s="1">
        <v>3230.27</v>
      </c>
      <c r="E831" s="1" t="s">
        <v>8</v>
      </c>
      <c r="F831" s="1" t="s">
        <v>11</v>
      </c>
      <c r="G831" s="1" t="s">
        <v>21</v>
      </c>
    </row>
    <row r="832" spans="1:7" x14ac:dyDescent="0.3">
      <c r="A832" s="2">
        <v>45216</v>
      </c>
      <c r="B832" s="1">
        <v>60000</v>
      </c>
      <c r="C832" s="1" t="s">
        <v>33</v>
      </c>
      <c r="D832" s="1">
        <v>2538.2800000000002</v>
      </c>
      <c r="E832" s="1" t="s">
        <v>8</v>
      </c>
      <c r="F832" s="1" t="s">
        <v>22</v>
      </c>
      <c r="G832" s="1" t="s">
        <v>28</v>
      </c>
    </row>
    <row r="833" spans="1:7" x14ac:dyDescent="0.3">
      <c r="A833" s="2">
        <v>45182</v>
      </c>
      <c r="B833" s="1">
        <v>70000</v>
      </c>
      <c r="C833" s="1" t="s">
        <v>33</v>
      </c>
      <c r="D833" s="1">
        <v>6118.51</v>
      </c>
      <c r="E833" s="1" t="s">
        <v>8</v>
      </c>
      <c r="F833" s="1" t="s">
        <v>11</v>
      </c>
      <c r="G833" s="1" t="s">
        <v>27</v>
      </c>
    </row>
    <row r="834" spans="1:7" x14ac:dyDescent="0.3">
      <c r="A834" s="2">
        <v>45097</v>
      </c>
      <c r="B834" s="1">
        <v>60000</v>
      </c>
      <c r="C834" s="1" t="s">
        <v>33</v>
      </c>
      <c r="D834" s="1">
        <v>6312.24</v>
      </c>
      <c r="E834" s="1" t="s">
        <v>15</v>
      </c>
      <c r="F834" s="1" t="s">
        <v>20</v>
      </c>
      <c r="G834" s="1" t="s">
        <v>23</v>
      </c>
    </row>
    <row r="835" spans="1:7" x14ac:dyDescent="0.3">
      <c r="A835" s="2">
        <v>44976</v>
      </c>
      <c r="B835" s="1">
        <v>70000</v>
      </c>
      <c r="C835" s="1" t="s">
        <v>33</v>
      </c>
      <c r="D835" s="1">
        <v>2966.15</v>
      </c>
      <c r="E835" s="1" t="s">
        <v>8</v>
      </c>
      <c r="F835" s="1" t="s">
        <v>11</v>
      </c>
      <c r="G835" s="1" t="s">
        <v>24</v>
      </c>
    </row>
    <row r="836" spans="1:7" x14ac:dyDescent="0.3">
      <c r="A836" s="2">
        <v>44927</v>
      </c>
      <c r="B836" s="1">
        <v>70000</v>
      </c>
      <c r="C836" s="1" t="s">
        <v>33</v>
      </c>
      <c r="D836" s="1">
        <v>3166.04</v>
      </c>
      <c r="E836" s="1" t="s">
        <v>15</v>
      </c>
      <c r="F836" s="1" t="s">
        <v>32</v>
      </c>
      <c r="G836" s="1" t="s">
        <v>19</v>
      </c>
    </row>
    <row r="837" spans="1:7" x14ac:dyDescent="0.3">
      <c r="A837" s="2">
        <v>45157</v>
      </c>
      <c r="B837" s="1">
        <v>60000</v>
      </c>
      <c r="C837" s="1" t="s">
        <v>33</v>
      </c>
      <c r="D837" s="1">
        <v>3581.07</v>
      </c>
      <c r="E837" s="1" t="s">
        <v>8</v>
      </c>
      <c r="F837" s="1" t="s">
        <v>11</v>
      </c>
      <c r="G837" s="1" t="s">
        <v>21</v>
      </c>
    </row>
    <row r="838" spans="1:7" x14ac:dyDescent="0.3">
      <c r="A838" s="2">
        <v>45083</v>
      </c>
      <c r="B838" s="1">
        <v>40000</v>
      </c>
      <c r="C838" s="1" t="s">
        <v>33</v>
      </c>
      <c r="D838" s="1">
        <v>8480.27</v>
      </c>
      <c r="E838" s="1" t="s">
        <v>15</v>
      </c>
      <c r="F838" s="1" t="s">
        <v>32</v>
      </c>
      <c r="G838" s="1" t="s">
        <v>23</v>
      </c>
    </row>
    <row r="839" spans="1:7" x14ac:dyDescent="0.3">
      <c r="A839" s="2">
        <v>44940</v>
      </c>
      <c r="B839" s="1">
        <v>60000</v>
      </c>
      <c r="C839" s="1" t="s">
        <v>33</v>
      </c>
      <c r="D839" s="1">
        <v>5306.57</v>
      </c>
      <c r="E839" s="1" t="s">
        <v>15</v>
      </c>
      <c r="F839" s="1" t="s">
        <v>32</v>
      </c>
      <c r="G839" s="1" t="s">
        <v>19</v>
      </c>
    </row>
    <row r="840" spans="1:7" x14ac:dyDescent="0.3">
      <c r="A840" s="2">
        <v>45178</v>
      </c>
      <c r="B840" s="1">
        <v>80000</v>
      </c>
      <c r="C840" s="1" t="s">
        <v>33</v>
      </c>
      <c r="D840" s="1">
        <v>7345.29</v>
      </c>
      <c r="E840" s="1" t="s">
        <v>8</v>
      </c>
      <c r="F840" s="1" t="s">
        <v>26</v>
      </c>
      <c r="G840" s="1" t="s">
        <v>27</v>
      </c>
    </row>
    <row r="841" spans="1:7" x14ac:dyDescent="0.3">
      <c r="A841" s="2">
        <v>45011</v>
      </c>
      <c r="B841" s="1">
        <v>80000</v>
      </c>
      <c r="C841" s="1" t="s">
        <v>33</v>
      </c>
      <c r="D841" s="1">
        <v>3926.35</v>
      </c>
      <c r="E841" s="1" t="s">
        <v>15</v>
      </c>
      <c r="F841" s="1" t="s">
        <v>32</v>
      </c>
      <c r="G841" s="1" t="s">
        <v>12</v>
      </c>
    </row>
    <row r="842" spans="1:7" x14ac:dyDescent="0.3">
      <c r="A842" s="2">
        <v>45065</v>
      </c>
      <c r="B842" s="1">
        <v>70000</v>
      </c>
      <c r="C842" s="1" t="s">
        <v>33</v>
      </c>
      <c r="D842" s="1">
        <v>5818.55</v>
      </c>
      <c r="E842" s="1" t="s">
        <v>15</v>
      </c>
      <c r="F842" s="1" t="s">
        <v>32</v>
      </c>
      <c r="G842" s="1" t="s">
        <v>17</v>
      </c>
    </row>
    <row r="843" spans="1:7" x14ac:dyDescent="0.3">
      <c r="A843" s="2">
        <v>44934</v>
      </c>
      <c r="B843" s="1">
        <v>120000</v>
      </c>
      <c r="C843" s="1" t="s">
        <v>33</v>
      </c>
      <c r="D843" s="1">
        <v>7495.59</v>
      </c>
      <c r="E843" s="1" t="s">
        <v>15</v>
      </c>
      <c r="F843" s="1" t="s">
        <v>16</v>
      </c>
      <c r="G843" s="1" t="s">
        <v>19</v>
      </c>
    </row>
    <row r="844" spans="1:7" x14ac:dyDescent="0.3">
      <c r="A844" s="2">
        <v>45266</v>
      </c>
      <c r="B844" s="1">
        <v>60000</v>
      </c>
      <c r="C844" s="1" t="s">
        <v>33</v>
      </c>
      <c r="D844" s="1">
        <v>8915.9</v>
      </c>
      <c r="E844" s="1" t="s">
        <v>15</v>
      </c>
      <c r="F844" s="1" t="s">
        <v>32</v>
      </c>
      <c r="G844" s="1" t="s">
        <v>10</v>
      </c>
    </row>
    <row r="845" spans="1:7" x14ac:dyDescent="0.3">
      <c r="A845" s="2">
        <v>45220</v>
      </c>
      <c r="B845" s="1">
        <v>80000</v>
      </c>
      <c r="C845" s="1" t="s">
        <v>33</v>
      </c>
      <c r="D845" s="1">
        <v>669.77</v>
      </c>
      <c r="E845" s="1" t="s">
        <v>8</v>
      </c>
      <c r="F845" s="1" t="s">
        <v>22</v>
      </c>
      <c r="G845" s="1" t="s">
        <v>28</v>
      </c>
    </row>
    <row r="846" spans="1:7" x14ac:dyDescent="0.3">
      <c r="A846" s="2">
        <v>44952</v>
      </c>
      <c r="B846" s="1">
        <v>40000</v>
      </c>
      <c r="C846" s="1" t="s">
        <v>33</v>
      </c>
      <c r="D846" s="1">
        <v>1692.61</v>
      </c>
      <c r="E846" s="1" t="s">
        <v>8</v>
      </c>
      <c r="F846" s="1" t="s">
        <v>26</v>
      </c>
      <c r="G846" s="1" t="s">
        <v>19</v>
      </c>
    </row>
    <row r="847" spans="1:7" x14ac:dyDescent="0.3">
      <c r="A847" s="2">
        <v>45282</v>
      </c>
      <c r="B847" s="1">
        <v>20000</v>
      </c>
      <c r="C847" s="1" t="s">
        <v>33</v>
      </c>
      <c r="D847" s="1">
        <v>5991.14</v>
      </c>
      <c r="E847" s="1" t="s">
        <v>8</v>
      </c>
      <c r="F847" s="1" t="s">
        <v>26</v>
      </c>
      <c r="G847" s="1" t="s">
        <v>10</v>
      </c>
    </row>
    <row r="848" spans="1:7" x14ac:dyDescent="0.3">
      <c r="A848" s="2">
        <v>45016</v>
      </c>
      <c r="B848" s="1">
        <v>70000</v>
      </c>
      <c r="C848" s="1" t="s">
        <v>33</v>
      </c>
      <c r="D848" s="1">
        <v>7412.86</v>
      </c>
      <c r="E848" s="1" t="s">
        <v>15</v>
      </c>
      <c r="F848" s="1" t="s">
        <v>32</v>
      </c>
      <c r="G848" s="1" t="s">
        <v>12</v>
      </c>
    </row>
    <row r="849" spans="1:7" x14ac:dyDescent="0.3">
      <c r="A849" s="2">
        <v>45229</v>
      </c>
      <c r="B849" s="1">
        <v>40000</v>
      </c>
      <c r="C849" s="1" t="s">
        <v>33</v>
      </c>
      <c r="D849" s="1">
        <v>1030.06</v>
      </c>
      <c r="E849" s="1" t="s">
        <v>15</v>
      </c>
      <c r="F849" s="1" t="s">
        <v>32</v>
      </c>
      <c r="G849" s="1" t="s">
        <v>28</v>
      </c>
    </row>
    <row r="850" spans="1:7" x14ac:dyDescent="0.3">
      <c r="A850" s="2">
        <v>44995</v>
      </c>
      <c r="B850" s="1">
        <v>130000</v>
      </c>
      <c r="C850" s="1" t="s">
        <v>33</v>
      </c>
      <c r="D850" s="1">
        <v>8777.75</v>
      </c>
      <c r="E850" s="1" t="s">
        <v>15</v>
      </c>
      <c r="F850" s="1" t="s">
        <v>32</v>
      </c>
      <c r="G850" s="1" t="s">
        <v>12</v>
      </c>
    </row>
    <row r="851" spans="1:7" x14ac:dyDescent="0.3">
      <c r="A851" s="2">
        <v>45000</v>
      </c>
      <c r="B851" s="1">
        <v>40000</v>
      </c>
      <c r="C851" s="1" t="s">
        <v>33</v>
      </c>
      <c r="D851" s="1">
        <v>5041.04</v>
      </c>
      <c r="E851" s="1" t="s">
        <v>8</v>
      </c>
      <c r="F851" s="1" t="s">
        <v>13</v>
      </c>
      <c r="G851" s="1" t="s">
        <v>12</v>
      </c>
    </row>
    <row r="852" spans="1:7" x14ac:dyDescent="0.3">
      <c r="A852" s="2">
        <v>45240</v>
      </c>
      <c r="B852" s="1">
        <v>130000</v>
      </c>
      <c r="C852" s="1" t="s">
        <v>33</v>
      </c>
      <c r="D852" s="1">
        <v>3129.94</v>
      </c>
      <c r="E852" s="1" t="s">
        <v>8</v>
      </c>
      <c r="F852" s="1" t="s">
        <v>13</v>
      </c>
      <c r="G852" s="1" t="s">
        <v>31</v>
      </c>
    </row>
    <row r="853" spans="1:7" x14ac:dyDescent="0.3">
      <c r="A853" s="2">
        <v>45286</v>
      </c>
      <c r="B853" s="1">
        <v>60000</v>
      </c>
      <c r="C853" s="1" t="s">
        <v>33</v>
      </c>
      <c r="D853" s="1">
        <v>4151.5200000000004</v>
      </c>
      <c r="E853" s="1" t="s">
        <v>8</v>
      </c>
      <c r="F853" s="1" t="s">
        <v>22</v>
      </c>
      <c r="G853" s="1" t="s">
        <v>10</v>
      </c>
    </row>
    <row r="854" spans="1:7" x14ac:dyDescent="0.3">
      <c r="A854" s="2">
        <v>45082</v>
      </c>
      <c r="B854" s="1">
        <v>50000</v>
      </c>
      <c r="C854" s="1" t="s">
        <v>33</v>
      </c>
      <c r="D854" s="1">
        <v>6151.53</v>
      </c>
      <c r="E854" s="1" t="s">
        <v>15</v>
      </c>
      <c r="F854" s="1" t="s">
        <v>20</v>
      </c>
      <c r="G854" s="1" t="s">
        <v>23</v>
      </c>
    </row>
    <row r="855" spans="1:7" x14ac:dyDescent="0.3">
      <c r="A855" s="2">
        <v>45201</v>
      </c>
      <c r="B855" s="1">
        <v>60000</v>
      </c>
      <c r="C855" s="1" t="s">
        <v>33</v>
      </c>
      <c r="D855" s="1">
        <v>1668.75</v>
      </c>
      <c r="E855" s="1" t="s">
        <v>8</v>
      </c>
      <c r="F855" s="1" t="s">
        <v>22</v>
      </c>
      <c r="G855" s="1" t="s">
        <v>28</v>
      </c>
    </row>
    <row r="856" spans="1:7" x14ac:dyDescent="0.3">
      <c r="A856" s="2">
        <v>44988</v>
      </c>
      <c r="B856" s="1">
        <v>60000</v>
      </c>
      <c r="C856" s="1" t="s">
        <v>33</v>
      </c>
      <c r="D856" s="1">
        <v>6192.78</v>
      </c>
      <c r="E856" s="1" t="s">
        <v>8</v>
      </c>
      <c r="F856" s="1" t="s">
        <v>22</v>
      </c>
      <c r="G856" s="1" t="s">
        <v>12</v>
      </c>
    </row>
    <row r="857" spans="1:7" x14ac:dyDescent="0.3">
      <c r="A857" s="2">
        <v>44942</v>
      </c>
      <c r="B857" s="1">
        <v>30000</v>
      </c>
      <c r="C857" s="1" t="s">
        <v>33</v>
      </c>
      <c r="D857" s="1">
        <v>4765.5600000000004</v>
      </c>
      <c r="E857" s="1" t="s">
        <v>8</v>
      </c>
      <c r="F857" s="1" t="s">
        <v>11</v>
      </c>
      <c r="G857" s="1" t="s">
        <v>19</v>
      </c>
    </row>
    <row r="858" spans="1:7" x14ac:dyDescent="0.3">
      <c r="A858" s="2">
        <v>45200</v>
      </c>
      <c r="B858" s="1">
        <v>40000</v>
      </c>
      <c r="C858" s="1" t="s">
        <v>33</v>
      </c>
      <c r="D858" s="1">
        <v>3164.84</v>
      </c>
      <c r="E858" s="1" t="s">
        <v>15</v>
      </c>
      <c r="F858" s="1" t="s">
        <v>20</v>
      </c>
      <c r="G858" s="1" t="s">
        <v>28</v>
      </c>
    </row>
    <row r="859" spans="1:7" x14ac:dyDescent="0.3">
      <c r="A859" s="2">
        <v>45173</v>
      </c>
      <c r="B859" s="1">
        <v>60000</v>
      </c>
      <c r="C859" s="1" t="s">
        <v>33</v>
      </c>
      <c r="D859" s="1">
        <v>5218.28</v>
      </c>
      <c r="E859" s="1" t="s">
        <v>15</v>
      </c>
      <c r="F859" s="1" t="s">
        <v>25</v>
      </c>
      <c r="G859" s="1" t="s">
        <v>27</v>
      </c>
    </row>
    <row r="860" spans="1:7" x14ac:dyDescent="0.3">
      <c r="A860" s="2">
        <v>45085</v>
      </c>
      <c r="B860" s="1">
        <v>40000</v>
      </c>
      <c r="C860" s="1" t="s">
        <v>33</v>
      </c>
      <c r="D860" s="1">
        <v>5951.69</v>
      </c>
      <c r="E860" s="1" t="s">
        <v>15</v>
      </c>
      <c r="F860" s="1" t="s">
        <v>25</v>
      </c>
      <c r="G860" s="1" t="s">
        <v>23</v>
      </c>
    </row>
    <row r="861" spans="1:7" x14ac:dyDescent="0.3">
      <c r="A861" s="2">
        <v>45130</v>
      </c>
      <c r="B861" s="1">
        <v>30000</v>
      </c>
      <c r="C861" s="1" t="s">
        <v>33</v>
      </c>
      <c r="D861" s="1">
        <v>7144.9</v>
      </c>
      <c r="E861" s="1" t="s">
        <v>15</v>
      </c>
      <c r="F861" s="1" t="s">
        <v>32</v>
      </c>
      <c r="G861" s="1" t="s">
        <v>29</v>
      </c>
    </row>
    <row r="862" spans="1:7" x14ac:dyDescent="0.3">
      <c r="A862" s="2">
        <v>45022</v>
      </c>
      <c r="B862" s="1">
        <v>30000</v>
      </c>
      <c r="C862" s="1" t="s">
        <v>33</v>
      </c>
      <c r="D862" s="1">
        <v>6194.81</v>
      </c>
      <c r="E862" s="1" t="s">
        <v>8</v>
      </c>
      <c r="F862" s="1" t="s">
        <v>26</v>
      </c>
      <c r="G862" s="1" t="s">
        <v>30</v>
      </c>
    </row>
    <row r="863" spans="1:7" x14ac:dyDescent="0.3">
      <c r="A863" s="2">
        <v>44965</v>
      </c>
      <c r="B863" s="1">
        <v>20000</v>
      </c>
      <c r="C863" s="1" t="s">
        <v>33</v>
      </c>
      <c r="D863" s="1">
        <v>1071.8800000000001</v>
      </c>
      <c r="E863" s="1" t="s">
        <v>8</v>
      </c>
      <c r="F863" s="1" t="s">
        <v>11</v>
      </c>
      <c r="G863" s="1" t="s">
        <v>24</v>
      </c>
    </row>
    <row r="864" spans="1:7" x14ac:dyDescent="0.3">
      <c r="A864" s="2">
        <v>44927</v>
      </c>
      <c r="B864" s="1">
        <v>50000</v>
      </c>
      <c r="C864" s="1" t="s">
        <v>33</v>
      </c>
      <c r="D864" s="1">
        <v>7577.33</v>
      </c>
      <c r="E864" s="1" t="s">
        <v>8</v>
      </c>
      <c r="F864" s="1" t="s">
        <v>22</v>
      </c>
      <c r="G864" s="1" t="s">
        <v>19</v>
      </c>
    </row>
    <row r="865" spans="1:7" x14ac:dyDescent="0.3">
      <c r="A865" s="2">
        <v>45042</v>
      </c>
      <c r="B865" s="1">
        <v>80000</v>
      </c>
      <c r="C865" s="1" t="s">
        <v>33</v>
      </c>
      <c r="D865" s="1">
        <v>5198.6899999999996</v>
      </c>
      <c r="E865" s="1" t="s">
        <v>15</v>
      </c>
      <c r="F865" s="1" t="s">
        <v>32</v>
      </c>
      <c r="G865" s="1" t="s">
        <v>30</v>
      </c>
    </row>
    <row r="866" spans="1:7" x14ac:dyDescent="0.3">
      <c r="A866" s="2">
        <v>45043</v>
      </c>
      <c r="B866" s="1">
        <v>40000</v>
      </c>
      <c r="C866" s="1" t="s">
        <v>33</v>
      </c>
      <c r="D866" s="1">
        <v>3042.62</v>
      </c>
      <c r="E866" s="1" t="s">
        <v>15</v>
      </c>
      <c r="F866" s="1" t="s">
        <v>20</v>
      </c>
      <c r="G866" s="1" t="s">
        <v>30</v>
      </c>
    </row>
    <row r="867" spans="1:7" x14ac:dyDescent="0.3">
      <c r="A867" s="2">
        <v>45121</v>
      </c>
      <c r="B867" s="1">
        <v>80000</v>
      </c>
      <c r="C867" s="1" t="s">
        <v>33</v>
      </c>
      <c r="D867" s="1">
        <v>8168.9</v>
      </c>
      <c r="E867" s="1" t="s">
        <v>15</v>
      </c>
      <c r="F867" s="1" t="s">
        <v>32</v>
      </c>
      <c r="G867" s="1" t="s">
        <v>29</v>
      </c>
    </row>
    <row r="868" spans="1:7" x14ac:dyDescent="0.3">
      <c r="A868" s="2">
        <v>45118</v>
      </c>
      <c r="B868" s="1">
        <v>60000</v>
      </c>
      <c r="C868" s="1" t="s">
        <v>33</v>
      </c>
      <c r="D868" s="1">
        <v>5496.65</v>
      </c>
      <c r="E868" s="1" t="s">
        <v>8</v>
      </c>
      <c r="F868" s="1" t="s">
        <v>13</v>
      </c>
      <c r="G868" s="1" t="s">
        <v>29</v>
      </c>
    </row>
    <row r="869" spans="1:7" x14ac:dyDescent="0.3">
      <c r="A869" s="2">
        <v>44950</v>
      </c>
      <c r="B869" s="1">
        <v>70000</v>
      </c>
      <c r="C869" s="1" t="s">
        <v>33</v>
      </c>
      <c r="D869" s="1">
        <v>6177.12</v>
      </c>
      <c r="E869" s="1" t="s">
        <v>15</v>
      </c>
      <c r="F869" s="1" t="s">
        <v>32</v>
      </c>
      <c r="G869" s="1" t="s">
        <v>19</v>
      </c>
    </row>
    <row r="870" spans="1:7" x14ac:dyDescent="0.3">
      <c r="A870" s="2">
        <v>45251</v>
      </c>
      <c r="B870" s="1">
        <v>30000</v>
      </c>
      <c r="C870" s="1" t="s">
        <v>33</v>
      </c>
      <c r="D870" s="1">
        <v>4670.26</v>
      </c>
      <c r="E870" s="1" t="s">
        <v>8</v>
      </c>
      <c r="F870" s="1" t="s">
        <v>11</v>
      </c>
      <c r="G870" s="1" t="s">
        <v>31</v>
      </c>
    </row>
    <row r="871" spans="1:7" x14ac:dyDescent="0.3">
      <c r="A871" s="2">
        <v>45154</v>
      </c>
      <c r="B871" s="1">
        <v>110000</v>
      </c>
      <c r="C871" s="1" t="s">
        <v>33</v>
      </c>
      <c r="D871" s="1">
        <v>5182.72</v>
      </c>
      <c r="E871" s="1" t="s">
        <v>8</v>
      </c>
      <c r="F871" s="1" t="s">
        <v>11</v>
      </c>
      <c r="G871" s="1" t="s">
        <v>21</v>
      </c>
    </row>
    <row r="872" spans="1:7" x14ac:dyDescent="0.3">
      <c r="A872" s="2">
        <v>45251</v>
      </c>
      <c r="B872" s="1">
        <v>60000</v>
      </c>
      <c r="C872" s="1" t="s">
        <v>33</v>
      </c>
      <c r="D872" s="1">
        <v>8937.58</v>
      </c>
      <c r="E872" s="1" t="s">
        <v>8</v>
      </c>
      <c r="F872" s="1" t="s">
        <v>22</v>
      </c>
      <c r="G872" s="1" t="s">
        <v>31</v>
      </c>
    </row>
    <row r="873" spans="1:7" x14ac:dyDescent="0.3">
      <c r="A873" s="2">
        <v>45247</v>
      </c>
      <c r="B873" s="1">
        <v>60000</v>
      </c>
      <c r="C873" s="1" t="s">
        <v>33</v>
      </c>
      <c r="D873" s="1">
        <v>5894.96</v>
      </c>
      <c r="E873" s="1" t="s">
        <v>15</v>
      </c>
      <c r="F873" s="1" t="s">
        <v>18</v>
      </c>
      <c r="G873" s="1" t="s">
        <v>31</v>
      </c>
    </row>
    <row r="874" spans="1:7" x14ac:dyDescent="0.3">
      <c r="A874" s="2">
        <v>45259</v>
      </c>
      <c r="B874" s="1">
        <v>70000</v>
      </c>
      <c r="C874" s="1" t="s">
        <v>33</v>
      </c>
      <c r="D874" s="1">
        <v>9254.19</v>
      </c>
      <c r="E874" s="1" t="s">
        <v>8</v>
      </c>
      <c r="F874" s="1" t="s">
        <v>22</v>
      </c>
      <c r="G874" s="1" t="s">
        <v>31</v>
      </c>
    </row>
    <row r="875" spans="1:7" x14ac:dyDescent="0.3">
      <c r="A875" s="2">
        <v>45004</v>
      </c>
      <c r="B875" s="1">
        <v>50000</v>
      </c>
      <c r="C875" s="1" t="s">
        <v>33</v>
      </c>
      <c r="D875" s="1">
        <v>2366.06</v>
      </c>
      <c r="E875" s="1" t="s">
        <v>8</v>
      </c>
      <c r="F875" s="1" t="s">
        <v>11</v>
      </c>
      <c r="G875" s="1" t="s">
        <v>12</v>
      </c>
    </row>
    <row r="876" spans="1:7" x14ac:dyDescent="0.3">
      <c r="A876" s="2">
        <v>45002</v>
      </c>
      <c r="B876" s="1">
        <v>30000</v>
      </c>
      <c r="C876" s="1" t="s">
        <v>33</v>
      </c>
      <c r="D876" s="1">
        <v>7612.74</v>
      </c>
      <c r="E876" s="1" t="s">
        <v>15</v>
      </c>
      <c r="F876" s="1" t="s">
        <v>18</v>
      </c>
      <c r="G876" s="1" t="s">
        <v>12</v>
      </c>
    </row>
    <row r="877" spans="1:7" x14ac:dyDescent="0.3">
      <c r="A877" s="2">
        <v>45054</v>
      </c>
      <c r="B877" s="1">
        <v>70000</v>
      </c>
      <c r="C877" s="1" t="s">
        <v>33</v>
      </c>
      <c r="D877" s="1">
        <v>680.38</v>
      </c>
      <c r="E877" s="1" t="s">
        <v>15</v>
      </c>
      <c r="F877" s="1" t="s">
        <v>16</v>
      </c>
      <c r="G877" s="1" t="s">
        <v>17</v>
      </c>
    </row>
    <row r="878" spans="1:7" x14ac:dyDescent="0.3">
      <c r="A878" s="2">
        <v>45135</v>
      </c>
      <c r="B878" s="1">
        <v>30000</v>
      </c>
      <c r="C878" s="1" t="s">
        <v>33</v>
      </c>
      <c r="D878" s="1">
        <v>7747.31</v>
      </c>
      <c r="E878" s="1" t="s">
        <v>8</v>
      </c>
      <c r="F878" s="1" t="s">
        <v>22</v>
      </c>
      <c r="G878" s="1" t="s">
        <v>29</v>
      </c>
    </row>
    <row r="879" spans="1:7" x14ac:dyDescent="0.3">
      <c r="A879" s="2">
        <v>45268</v>
      </c>
      <c r="B879" s="1">
        <v>70000</v>
      </c>
      <c r="C879" s="1" t="s">
        <v>33</v>
      </c>
      <c r="D879" s="1">
        <v>8877.19</v>
      </c>
      <c r="E879" s="1" t="s">
        <v>15</v>
      </c>
      <c r="F879" s="1" t="s">
        <v>18</v>
      </c>
      <c r="G879" s="1" t="s">
        <v>10</v>
      </c>
    </row>
    <row r="880" spans="1:7" x14ac:dyDescent="0.3">
      <c r="A880" s="2">
        <v>45087</v>
      </c>
      <c r="B880" s="1">
        <v>50000</v>
      </c>
      <c r="C880" s="1" t="s">
        <v>33</v>
      </c>
      <c r="D880" s="1">
        <v>8797.59</v>
      </c>
      <c r="E880" s="1" t="s">
        <v>8</v>
      </c>
      <c r="F880" s="1" t="s">
        <v>26</v>
      </c>
      <c r="G880" s="1" t="s">
        <v>23</v>
      </c>
    </row>
    <row r="881" spans="1:7" x14ac:dyDescent="0.3">
      <c r="A881" s="2">
        <v>45088</v>
      </c>
      <c r="B881" s="1">
        <v>90000</v>
      </c>
      <c r="C881" s="1" t="s">
        <v>33</v>
      </c>
      <c r="D881" s="1">
        <v>826.17</v>
      </c>
      <c r="E881" s="1" t="s">
        <v>8</v>
      </c>
      <c r="F881" s="1" t="s">
        <v>26</v>
      </c>
      <c r="G881" s="1" t="s">
        <v>23</v>
      </c>
    </row>
    <row r="882" spans="1:7" x14ac:dyDescent="0.3">
      <c r="A882" s="2">
        <v>45113</v>
      </c>
      <c r="B882" s="1">
        <v>80000</v>
      </c>
      <c r="C882" s="1" t="s">
        <v>33</v>
      </c>
      <c r="D882" s="1">
        <v>9338.5499999999993</v>
      </c>
      <c r="E882" s="1" t="s">
        <v>8</v>
      </c>
      <c r="F882" s="1" t="s">
        <v>9</v>
      </c>
      <c r="G882" s="1" t="s">
        <v>29</v>
      </c>
    </row>
    <row r="883" spans="1:7" x14ac:dyDescent="0.3">
      <c r="A883" s="2">
        <v>45246</v>
      </c>
      <c r="B883" s="1">
        <v>80000</v>
      </c>
      <c r="C883" s="1" t="s">
        <v>33</v>
      </c>
      <c r="D883" s="1">
        <v>634.58000000000004</v>
      </c>
      <c r="E883" s="1" t="s">
        <v>15</v>
      </c>
      <c r="F883" s="1" t="s">
        <v>25</v>
      </c>
      <c r="G883" s="1" t="s">
        <v>31</v>
      </c>
    </row>
    <row r="884" spans="1:7" x14ac:dyDescent="0.3">
      <c r="A884" s="2">
        <v>45061</v>
      </c>
      <c r="B884" s="1">
        <v>30000</v>
      </c>
      <c r="C884" s="1" t="s">
        <v>33</v>
      </c>
      <c r="D884" s="1">
        <v>1459.65</v>
      </c>
      <c r="E884" s="1" t="s">
        <v>8</v>
      </c>
      <c r="F884" s="1" t="s">
        <v>22</v>
      </c>
      <c r="G884" s="1" t="s">
        <v>17</v>
      </c>
    </row>
    <row r="885" spans="1:7" x14ac:dyDescent="0.3">
      <c r="A885" s="2">
        <v>45081</v>
      </c>
      <c r="B885" s="1">
        <v>60000</v>
      </c>
      <c r="C885" s="1" t="s">
        <v>33</v>
      </c>
      <c r="D885" s="1">
        <v>9332.4500000000007</v>
      </c>
      <c r="E885" s="1" t="s">
        <v>8</v>
      </c>
      <c r="F885" s="1" t="s">
        <v>26</v>
      </c>
      <c r="G885" s="1" t="s">
        <v>23</v>
      </c>
    </row>
    <row r="886" spans="1:7" x14ac:dyDescent="0.3">
      <c r="A886" s="2">
        <v>44970</v>
      </c>
      <c r="B886" s="1">
        <v>80000</v>
      </c>
      <c r="C886" s="1" t="s">
        <v>33</v>
      </c>
      <c r="D886" s="1">
        <v>7228.4</v>
      </c>
      <c r="E886" s="1" t="s">
        <v>15</v>
      </c>
      <c r="F886" s="1" t="s">
        <v>18</v>
      </c>
      <c r="G886" s="1" t="s">
        <v>24</v>
      </c>
    </row>
    <row r="887" spans="1:7" x14ac:dyDescent="0.3">
      <c r="A887" s="2">
        <v>45117</v>
      </c>
      <c r="B887" s="1">
        <v>20000</v>
      </c>
      <c r="C887" s="1" t="s">
        <v>33</v>
      </c>
      <c r="D887" s="1">
        <v>5566.87</v>
      </c>
      <c r="E887" s="1" t="s">
        <v>8</v>
      </c>
      <c r="F887" s="1" t="s">
        <v>13</v>
      </c>
      <c r="G887" s="1" t="s">
        <v>29</v>
      </c>
    </row>
    <row r="888" spans="1:7" x14ac:dyDescent="0.3">
      <c r="A888" s="2">
        <v>44985</v>
      </c>
      <c r="B888" s="1">
        <v>70000</v>
      </c>
      <c r="C888" s="1" t="s">
        <v>33</v>
      </c>
      <c r="D888" s="1">
        <v>1514.06</v>
      </c>
      <c r="E888" s="1" t="s">
        <v>8</v>
      </c>
      <c r="F888" s="1" t="s">
        <v>13</v>
      </c>
      <c r="G888" s="1" t="s">
        <v>24</v>
      </c>
    </row>
    <row r="889" spans="1:7" x14ac:dyDescent="0.3">
      <c r="A889" s="2">
        <v>45231</v>
      </c>
      <c r="B889" s="1">
        <v>50000</v>
      </c>
      <c r="C889" s="1" t="s">
        <v>33</v>
      </c>
      <c r="D889" s="1">
        <v>3672.68</v>
      </c>
      <c r="E889" s="1" t="s">
        <v>8</v>
      </c>
      <c r="F889" s="1" t="s">
        <v>11</v>
      </c>
      <c r="G889" s="1" t="s">
        <v>31</v>
      </c>
    </row>
    <row r="890" spans="1:7" x14ac:dyDescent="0.3">
      <c r="A890" s="2">
        <v>44947</v>
      </c>
      <c r="B890" s="1">
        <v>60000</v>
      </c>
      <c r="C890" s="1" t="s">
        <v>33</v>
      </c>
      <c r="D890" s="1">
        <v>3183.62</v>
      </c>
      <c r="E890" s="1" t="s">
        <v>15</v>
      </c>
      <c r="F890" s="1" t="s">
        <v>25</v>
      </c>
      <c r="G890" s="1" t="s">
        <v>19</v>
      </c>
    </row>
    <row r="891" spans="1:7" x14ac:dyDescent="0.3">
      <c r="A891" s="2">
        <v>45234</v>
      </c>
      <c r="B891" s="1">
        <v>70000</v>
      </c>
      <c r="C891" s="1" t="s">
        <v>33</v>
      </c>
      <c r="D891" s="1">
        <v>7993.17</v>
      </c>
      <c r="E891" s="1" t="s">
        <v>15</v>
      </c>
      <c r="F891" s="1" t="s">
        <v>32</v>
      </c>
      <c r="G891" s="1" t="s">
        <v>31</v>
      </c>
    </row>
    <row r="892" spans="1:7" x14ac:dyDescent="0.3">
      <c r="A892" s="2">
        <v>45171</v>
      </c>
      <c r="B892" s="1">
        <v>40000</v>
      </c>
      <c r="C892" s="1" t="s">
        <v>33</v>
      </c>
      <c r="D892" s="1">
        <v>5560.88</v>
      </c>
      <c r="E892" s="1" t="s">
        <v>15</v>
      </c>
      <c r="F892" s="1" t="s">
        <v>32</v>
      </c>
      <c r="G892" s="1" t="s">
        <v>27</v>
      </c>
    </row>
    <row r="893" spans="1:7" x14ac:dyDescent="0.3">
      <c r="A893" s="2">
        <v>45034</v>
      </c>
      <c r="B893" s="1">
        <v>100000</v>
      </c>
      <c r="C893" s="1" t="s">
        <v>33</v>
      </c>
      <c r="D893" s="1">
        <v>1547.8</v>
      </c>
      <c r="E893" s="1" t="s">
        <v>15</v>
      </c>
      <c r="F893" s="1" t="s">
        <v>18</v>
      </c>
      <c r="G893" s="1" t="s">
        <v>30</v>
      </c>
    </row>
    <row r="894" spans="1:7" x14ac:dyDescent="0.3">
      <c r="A894" s="2">
        <v>44970</v>
      </c>
      <c r="B894" s="1">
        <v>70000</v>
      </c>
      <c r="C894" s="1" t="s">
        <v>33</v>
      </c>
      <c r="D894" s="1">
        <v>4074.85</v>
      </c>
      <c r="E894" s="1" t="s">
        <v>8</v>
      </c>
      <c r="F894" s="1" t="s">
        <v>11</v>
      </c>
      <c r="G894" s="1" t="s">
        <v>24</v>
      </c>
    </row>
    <row r="895" spans="1:7" x14ac:dyDescent="0.3">
      <c r="A895" s="2">
        <v>45023</v>
      </c>
      <c r="B895" s="1">
        <v>60000</v>
      </c>
      <c r="C895" s="1" t="s">
        <v>33</v>
      </c>
      <c r="D895" s="1">
        <v>8430.18</v>
      </c>
      <c r="E895" s="1" t="s">
        <v>15</v>
      </c>
      <c r="F895" s="1" t="s">
        <v>25</v>
      </c>
      <c r="G895" s="1" t="s">
        <v>30</v>
      </c>
    </row>
    <row r="896" spans="1:7" x14ac:dyDescent="0.3">
      <c r="A896" s="2">
        <v>44941</v>
      </c>
      <c r="B896" s="1">
        <v>70000</v>
      </c>
      <c r="C896" s="1" t="s">
        <v>33</v>
      </c>
      <c r="D896" s="1">
        <v>4089.09</v>
      </c>
      <c r="E896" s="1" t="s">
        <v>15</v>
      </c>
      <c r="F896" s="1" t="s">
        <v>18</v>
      </c>
      <c r="G896" s="1" t="s">
        <v>19</v>
      </c>
    </row>
    <row r="897" spans="1:7" x14ac:dyDescent="0.3">
      <c r="A897" s="2">
        <v>45253</v>
      </c>
      <c r="B897" s="1">
        <v>50000</v>
      </c>
      <c r="C897" s="1" t="s">
        <v>33</v>
      </c>
      <c r="D897" s="1">
        <v>7075.42</v>
      </c>
      <c r="E897" s="1" t="s">
        <v>15</v>
      </c>
      <c r="F897" s="1" t="s">
        <v>25</v>
      </c>
      <c r="G897" s="1" t="s">
        <v>31</v>
      </c>
    </row>
    <row r="898" spans="1:7" x14ac:dyDescent="0.3">
      <c r="A898" s="2">
        <v>45137</v>
      </c>
      <c r="B898" s="1">
        <v>50000</v>
      </c>
      <c r="C898" s="1" t="s">
        <v>33</v>
      </c>
      <c r="D898" s="1">
        <v>6009.1</v>
      </c>
      <c r="E898" s="1" t="s">
        <v>15</v>
      </c>
      <c r="F898" s="1" t="s">
        <v>20</v>
      </c>
      <c r="G898" s="1" t="s">
        <v>29</v>
      </c>
    </row>
    <row r="899" spans="1:7" x14ac:dyDescent="0.3">
      <c r="A899" s="2">
        <v>44980</v>
      </c>
      <c r="B899" s="1">
        <v>30000</v>
      </c>
      <c r="C899" s="1" t="s">
        <v>33</v>
      </c>
      <c r="D899" s="1">
        <v>9800.64</v>
      </c>
      <c r="E899" s="1" t="s">
        <v>8</v>
      </c>
      <c r="F899" s="1" t="s">
        <v>11</v>
      </c>
      <c r="G899" s="1" t="s">
        <v>24</v>
      </c>
    </row>
    <row r="900" spans="1:7" x14ac:dyDescent="0.3">
      <c r="A900" s="2">
        <v>45057</v>
      </c>
      <c r="B900" s="1">
        <v>70000</v>
      </c>
      <c r="C900" s="1" t="s">
        <v>33</v>
      </c>
      <c r="D900" s="1">
        <v>7290.47</v>
      </c>
      <c r="E900" s="1" t="s">
        <v>15</v>
      </c>
      <c r="F900" s="1" t="s">
        <v>18</v>
      </c>
      <c r="G900" s="1" t="s">
        <v>17</v>
      </c>
    </row>
    <row r="901" spans="1:7" x14ac:dyDescent="0.3">
      <c r="A901" s="2">
        <v>45218</v>
      </c>
      <c r="B901" s="1">
        <v>70000</v>
      </c>
      <c r="C901" s="1" t="s">
        <v>33</v>
      </c>
      <c r="D901" s="1">
        <v>7887.42</v>
      </c>
      <c r="E901" s="1" t="s">
        <v>8</v>
      </c>
      <c r="F901" s="1" t="s">
        <v>9</v>
      </c>
      <c r="G901" s="1" t="s">
        <v>28</v>
      </c>
    </row>
    <row r="902" spans="1:7" x14ac:dyDescent="0.3">
      <c r="A902" s="2">
        <v>44928</v>
      </c>
      <c r="B902" s="1">
        <v>40000</v>
      </c>
      <c r="C902" s="1" t="s">
        <v>33</v>
      </c>
      <c r="D902" s="1">
        <v>8628.4500000000007</v>
      </c>
      <c r="E902" s="1" t="s">
        <v>8</v>
      </c>
      <c r="F902" s="1" t="s">
        <v>9</v>
      </c>
      <c r="G902" s="1" t="s">
        <v>19</v>
      </c>
    </row>
    <row r="903" spans="1:7" x14ac:dyDescent="0.3">
      <c r="A903" s="2">
        <v>45073</v>
      </c>
      <c r="B903" s="1">
        <v>60000</v>
      </c>
      <c r="C903" s="1" t="s">
        <v>33</v>
      </c>
      <c r="D903" s="1">
        <v>3233.33</v>
      </c>
      <c r="E903" s="1" t="s">
        <v>15</v>
      </c>
      <c r="F903" s="1" t="s">
        <v>18</v>
      </c>
      <c r="G903" s="1" t="s">
        <v>17</v>
      </c>
    </row>
    <row r="904" spans="1:7" x14ac:dyDescent="0.3">
      <c r="A904" s="2">
        <v>45000</v>
      </c>
      <c r="B904" s="1">
        <v>80000</v>
      </c>
      <c r="C904" s="1" t="s">
        <v>33</v>
      </c>
      <c r="D904" s="1">
        <v>7854.53</v>
      </c>
      <c r="E904" s="1" t="s">
        <v>15</v>
      </c>
      <c r="F904" s="1" t="s">
        <v>18</v>
      </c>
      <c r="G904" s="1" t="s">
        <v>12</v>
      </c>
    </row>
    <row r="905" spans="1:7" x14ac:dyDescent="0.3">
      <c r="A905" s="2">
        <v>45034</v>
      </c>
      <c r="B905" s="1">
        <v>90000</v>
      </c>
      <c r="C905" s="1" t="s">
        <v>33</v>
      </c>
      <c r="D905" s="1">
        <v>1857.49</v>
      </c>
      <c r="E905" s="1" t="s">
        <v>15</v>
      </c>
      <c r="F905" s="1" t="s">
        <v>16</v>
      </c>
      <c r="G905" s="1" t="s">
        <v>30</v>
      </c>
    </row>
    <row r="906" spans="1:7" x14ac:dyDescent="0.3">
      <c r="A906" s="2">
        <v>45131</v>
      </c>
      <c r="B906" s="1">
        <v>60000</v>
      </c>
      <c r="C906" s="1" t="s">
        <v>33</v>
      </c>
      <c r="D906" s="1">
        <v>457.02</v>
      </c>
      <c r="E906" s="1" t="s">
        <v>8</v>
      </c>
      <c r="F906" s="1" t="s">
        <v>13</v>
      </c>
      <c r="G906" s="1" t="s">
        <v>29</v>
      </c>
    </row>
    <row r="907" spans="1:7" x14ac:dyDescent="0.3">
      <c r="A907" s="2">
        <v>45222</v>
      </c>
      <c r="B907" s="1">
        <v>90000</v>
      </c>
      <c r="C907" s="1" t="s">
        <v>33</v>
      </c>
      <c r="D907" s="1">
        <v>8225.41</v>
      </c>
      <c r="E907" s="1" t="s">
        <v>15</v>
      </c>
      <c r="F907" s="1" t="s">
        <v>18</v>
      </c>
      <c r="G907" s="1" t="s">
        <v>28</v>
      </c>
    </row>
    <row r="908" spans="1:7" x14ac:dyDescent="0.3">
      <c r="A908" s="2">
        <v>45164</v>
      </c>
      <c r="B908" s="1">
        <v>60000</v>
      </c>
      <c r="C908" s="1" t="s">
        <v>33</v>
      </c>
      <c r="D908" s="1">
        <v>5617.95</v>
      </c>
      <c r="E908" s="1" t="s">
        <v>15</v>
      </c>
      <c r="F908" s="1" t="s">
        <v>25</v>
      </c>
      <c r="G908" s="1" t="s">
        <v>21</v>
      </c>
    </row>
    <row r="909" spans="1:7" x14ac:dyDescent="0.3">
      <c r="A909" s="2">
        <v>45290</v>
      </c>
      <c r="B909" s="1">
        <v>50000</v>
      </c>
      <c r="C909" s="1" t="s">
        <v>33</v>
      </c>
      <c r="D909" s="1">
        <v>723.36</v>
      </c>
      <c r="E909" s="1" t="s">
        <v>8</v>
      </c>
      <c r="F909" s="1" t="s">
        <v>22</v>
      </c>
      <c r="G909" s="1" t="s">
        <v>10</v>
      </c>
    </row>
    <row r="910" spans="1:7" x14ac:dyDescent="0.3">
      <c r="A910" s="2">
        <v>45089</v>
      </c>
      <c r="B910" s="1">
        <v>50000</v>
      </c>
      <c r="C910" s="1" t="s">
        <v>33</v>
      </c>
      <c r="D910" s="1">
        <v>8289.1</v>
      </c>
      <c r="E910" s="1" t="s">
        <v>15</v>
      </c>
      <c r="F910" s="1" t="s">
        <v>18</v>
      </c>
      <c r="G910" s="1" t="s">
        <v>23</v>
      </c>
    </row>
    <row r="911" spans="1:7" x14ac:dyDescent="0.3">
      <c r="A911" s="2">
        <v>45168</v>
      </c>
      <c r="B911" s="1">
        <v>60000</v>
      </c>
      <c r="C911" s="1" t="s">
        <v>33</v>
      </c>
      <c r="D911" s="1">
        <v>4060.31</v>
      </c>
      <c r="E911" s="1" t="s">
        <v>15</v>
      </c>
      <c r="F911" s="1" t="s">
        <v>16</v>
      </c>
      <c r="G911" s="1" t="s">
        <v>21</v>
      </c>
    </row>
    <row r="912" spans="1:7" x14ac:dyDescent="0.3">
      <c r="A912" s="2">
        <v>45129</v>
      </c>
      <c r="B912" s="1">
        <v>40000</v>
      </c>
      <c r="C912" s="1" t="s">
        <v>33</v>
      </c>
      <c r="D912" s="1">
        <v>825.84</v>
      </c>
      <c r="E912" s="1" t="s">
        <v>8</v>
      </c>
      <c r="F912" s="1" t="s">
        <v>13</v>
      </c>
      <c r="G912" s="1" t="s">
        <v>29</v>
      </c>
    </row>
    <row r="913" spans="1:7" x14ac:dyDescent="0.3">
      <c r="A913" s="2">
        <v>45025</v>
      </c>
      <c r="B913" s="1">
        <v>80000</v>
      </c>
      <c r="C913" s="1" t="s">
        <v>33</v>
      </c>
      <c r="D913" s="1">
        <v>9571.7999999999993</v>
      </c>
      <c r="E913" s="1" t="s">
        <v>15</v>
      </c>
      <c r="F913" s="1" t="s">
        <v>25</v>
      </c>
      <c r="G913" s="1" t="s">
        <v>30</v>
      </c>
    </row>
    <row r="914" spans="1:7" x14ac:dyDescent="0.3">
      <c r="A914" s="2">
        <v>45109</v>
      </c>
      <c r="B914" s="1">
        <v>40000</v>
      </c>
      <c r="C914" s="1" t="s">
        <v>33</v>
      </c>
      <c r="D914" s="1">
        <v>1052.3900000000001</v>
      </c>
      <c r="E914" s="1" t="s">
        <v>8</v>
      </c>
      <c r="F914" s="1" t="s">
        <v>11</v>
      </c>
      <c r="G914" s="1" t="s">
        <v>29</v>
      </c>
    </row>
    <row r="915" spans="1:7" x14ac:dyDescent="0.3">
      <c r="A915" s="2">
        <v>44949</v>
      </c>
      <c r="B915" s="1">
        <v>60000</v>
      </c>
      <c r="C915" s="1" t="s">
        <v>33</v>
      </c>
      <c r="D915" s="1">
        <v>6847.53</v>
      </c>
      <c r="E915" s="1" t="s">
        <v>8</v>
      </c>
      <c r="F915" s="1" t="s">
        <v>26</v>
      </c>
      <c r="G915" s="1" t="s">
        <v>19</v>
      </c>
    </row>
    <row r="916" spans="1:7" x14ac:dyDescent="0.3">
      <c r="A916" s="2">
        <v>45108</v>
      </c>
      <c r="B916" s="1">
        <v>80000</v>
      </c>
      <c r="C916" s="1" t="s">
        <v>33</v>
      </c>
      <c r="D916" s="1">
        <v>9264.6</v>
      </c>
      <c r="E916" s="1" t="s">
        <v>8</v>
      </c>
      <c r="F916" s="1" t="s">
        <v>13</v>
      </c>
      <c r="G916" s="1" t="s">
        <v>29</v>
      </c>
    </row>
    <row r="917" spans="1:7" x14ac:dyDescent="0.3">
      <c r="A917" s="2">
        <v>44980</v>
      </c>
      <c r="B917" s="1">
        <v>60000</v>
      </c>
      <c r="C917" s="1" t="s">
        <v>33</v>
      </c>
      <c r="D917" s="1">
        <v>7993.41</v>
      </c>
      <c r="E917" s="1" t="s">
        <v>15</v>
      </c>
      <c r="F917" s="1" t="s">
        <v>20</v>
      </c>
      <c r="G917" s="1" t="s">
        <v>24</v>
      </c>
    </row>
    <row r="918" spans="1:7" x14ac:dyDescent="0.3">
      <c r="A918" s="2">
        <v>45038</v>
      </c>
      <c r="B918" s="1">
        <v>70000</v>
      </c>
      <c r="C918" s="1" t="s">
        <v>33</v>
      </c>
      <c r="D918" s="1">
        <v>9817.34</v>
      </c>
      <c r="E918" s="1" t="s">
        <v>8</v>
      </c>
      <c r="F918" s="1" t="s">
        <v>13</v>
      </c>
      <c r="G918" s="1" t="s">
        <v>30</v>
      </c>
    </row>
    <row r="919" spans="1:7" x14ac:dyDescent="0.3">
      <c r="A919" s="2">
        <v>45095</v>
      </c>
      <c r="B919" s="1">
        <v>110000</v>
      </c>
      <c r="C919" s="1" t="s">
        <v>33</v>
      </c>
      <c r="D919" s="1">
        <v>505.03</v>
      </c>
      <c r="E919" s="1" t="s">
        <v>8</v>
      </c>
      <c r="F919" s="1" t="s">
        <v>26</v>
      </c>
      <c r="G919" s="1" t="s">
        <v>23</v>
      </c>
    </row>
    <row r="920" spans="1:7" x14ac:dyDescent="0.3">
      <c r="A920" s="2">
        <v>45224</v>
      </c>
      <c r="B920" s="1">
        <v>70000</v>
      </c>
      <c r="C920" s="1" t="s">
        <v>33</v>
      </c>
      <c r="D920" s="1">
        <v>9241.73</v>
      </c>
      <c r="E920" s="1" t="s">
        <v>8</v>
      </c>
      <c r="F920" s="1" t="s">
        <v>9</v>
      </c>
      <c r="G920" s="1" t="s">
        <v>28</v>
      </c>
    </row>
    <row r="921" spans="1:7" x14ac:dyDescent="0.3">
      <c r="A921" s="2">
        <v>44955</v>
      </c>
      <c r="B921" s="1">
        <v>40000</v>
      </c>
      <c r="C921" s="1" t="s">
        <v>33</v>
      </c>
      <c r="D921" s="1">
        <v>9373.19</v>
      </c>
      <c r="E921" s="1" t="s">
        <v>8</v>
      </c>
      <c r="F921" s="1" t="s">
        <v>13</v>
      </c>
      <c r="G921" s="1" t="s">
        <v>19</v>
      </c>
    </row>
    <row r="922" spans="1:7" x14ac:dyDescent="0.3">
      <c r="A922" s="2">
        <v>45239</v>
      </c>
      <c r="B922" s="1">
        <v>30000</v>
      </c>
      <c r="C922" s="1" t="s">
        <v>33</v>
      </c>
      <c r="D922" s="1">
        <v>3802.53</v>
      </c>
      <c r="E922" s="1" t="s">
        <v>8</v>
      </c>
      <c r="F922" s="1" t="s">
        <v>22</v>
      </c>
      <c r="G922" s="1" t="s">
        <v>31</v>
      </c>
    </row>
    <row r="923" spans="1:7" x14ac:dyDescent="0.3">
      <c r="A923" s="2">
        <v>45009</v>
      </c>
      <c r="B923" s="1">
        <v>70000</v>
      </c>
      <c r="C923" s="1" t="s">
        <v>33</v>
      </c>
      <c r="D923" s="1">
        <v>210.79</v>
      </c>
      <c r="E923" s="1" t="s">
        <v>15</v>
      </c>
      <c r="F923" s="1" t="s">
        <v>18</v>
      </c>
      <c r="G923" s="1" t="s">
        <v>12</v>
      </c>
    </row>
    <row r="924" spans="1:7" x14ac:dyDescent="0.3">
      <c r="A924" s="2">
        <v>45063</v>
      </c>
      <c r="B924" s="1">
        <v>40000</v>
      </c>
      <c r="C924" s="1" t="s">
        <v>33</v>
      </c>
      <c r="D924" s="1">
        <v>7520.22</v>
      </c>
      <c r="E924" s="1" t="s">
        <v>15</v>
      </c>
      <c r="F924" s="1" t="s">
        <v>18</v>
      </c>
      <c r="G924" s="1" t="s">
        <v>17</v>
      </c>
    </row>
    <row r="925" spans="1:7" x14ac:dyDescent="0.3">
      <c r="A925" s="2">
        <v>45077</v>
      </c>
      <c r="B925" s="1">
        <v>70000</v>
      </c>
      <c r="C925" s="1" t="s">
        <v>33</v>
      </c>
      <c r="D925" s="1">
        <v>2050.14</v>
      </c>
      <c r="E925" s="1" t="s">
        <v>8</v>
      </c>
      <c r="F925" s="1" t="s">
        <v>26</v>
      </c>
      <c r="G925" s="1" t="s">
        <v>17</v>
      </c>
    </row>
    <row r="926" spans="1:7" x14ac:dyDescent="0.3">
      <c r="A926" s="2">
        <v>45190</v>
      </c>
      <c r="B926" s="1">
        <v>90000</v>
      </c>
      <c r="C926" s="1" t="s">
        <v>33</v>
      </c>
      <c r="D926" s="1">
        <v>9989.7900000000009</v>
      </c>
      <c r="E926" s="1" t="s">
        <v>8</v>
      </c>
      <c r="F926" s="1" t="s">
        <v>26</v>
      </c>
      <c r="G926" s="1" t="s">
        <v>27</v>
      </c>
    </row>
    <row r="927" spans="1:7" x14ac:dyDescent="0.3">
      <c r="A927" s="2">
        <v>45213</v>
      </c>
      <c r="B927" s="1">
        <v>50000</v>
      </c>
      <c r="C927" s="1" t="s">
        <v>33</v>
      </c>
      <c r="D927" s="1">
        <v>9767.99</v>
      </c>
      <c r="E927" s="1" t="s">
        <v>15</v>
      </c>
      <c r="F927" s="1" t="s">
        <v>25</v>
      </c>
      <c r="G927" s="1" t="s">
        <v>28</v>
      </c>
    </row>
    <row r="928" spans="1:7" x14ac:dyDescent="0.3">
      <c r="A928" s="2">
        <v>45044</v>
      </c>
      <c r="B928" s="1">
        <v>40000</v>
      </c>
      <c r="C928" s="1" t="s">
        <v>33</v>
      </c>
      <c r="D928" s="1">
        <v>6293.64</v>
      </c>
      <c r="E928" s="1" t="s">
        <v>15</v>
      </c>
      <c r="F928" s="1" t="s">
        <v>25</v>
      </c>
      <c r="G928" s="1" t="s">
        <v>30</v>
      </c>
    </row>
    <row r="929" spans="1:7" x14ac:dyDescent="0.3">
      <c r="A929" s="2">
        <v>45107</v>
      </c>
      <c r="B929" s="1">
        <v>70000</v>
      </c>
      <c r="C929" s="1" t="s">
        <v>33</v>
      </c>
      <c r="D929" s="1">
        <v>7488.74</v>
      </c>
      <c r="E929" s="1" t="s">
        <v>15</v>
      </c>
      <c r="F929" s="1" t="s">
        <v>25</v>
      </c>
      <c r="G929" s="1" t="s">
        <v>23</v>
      </c>
    </row>
    <row r="930" spans="1:7" x14ac:dyDescent="0.3">
      <c r="A930" s="2">
        <v>45089</v>
      </c>
      <c r="B930" s="1">
        <v>60000</v>
      </c>
      <c r="C930" s="1" t="s">
        <v>33</v>
      </c>
      <c r="D930" s="1">
        <v>8961.89</v>
      </c>
      <c r="E930" s="1" t="s">
        <v>8</v>
      </c>
      <c r="F930" s="1" t="s">
        <v>11</v>
      </c>
      <c r="G930" s="1" t="s">
        <v>23</v>
      </c>
    </row>
    <row r="931" spans="1:7" x14ac:dyDescent="0.3">
      <c r="A931" s="2">
        <v>45007</v>
      </c>
      <c r="B931" s="1">
        <v>60000</v>
      </c>
      <c r="C931" s="1" t="s">
        <v>33</v>
      </c>
      <c r="D931" s="1">
        <v>3108.64</v>
      </c>
      <c r="E931" s="1" t="s">
        <v>15</v>
      </c>
      <c r="F931" s="1" t="s">
        <v>16</v>
      </c>
      <c r="G931" s="1" t="s">
        <v>12</v>
      </c>
    </row>
    <row r="932" spans="1:7" x14ac:dyDescent="0.3">
      <c r="A932" s="2">
        <v>45150</v>
      </c>
      <c r="B932" s="1">
        <v>70000</v>
      </c>
      <c r="C932" s="1" t="s">
        <v>33</v>
      </c>
      <c r="D932" s="1">
        <v>6237.88</v>
      </c>
      <c r="E932" s="1" t="s">
        <v>8</v>
      </c>
      <c r="F932" s="1" t="s">
        <v>22</v>
      </c>
      <c r="G932" s="1" t="s">
        <v>21</v>
      </c>
    </row>
    <row r="933" spans="1:7" x14ac:dyDescent="0.3">
      <c r="A933" s="2">
        <v>44996</v>
      </c>
      <c r="B933" s="1">
        <v>40000</v>
      </c>
      <c r="C933" s="1" t="s">
        <v>33</v>
      </c>
      <c r="D933" s="1">
        <v>2609.63</v>
      </c>
      <c r="E933" s="1" t="s">
        <v>8</v>
      </c>
      <c r="F933" s="1" t="s">
        <v>22</v>
      </c>
      <c r="G933" s="1" t="s">
        <v>12</v>
      </c>
    </row>
    <row r="934" spans="1:7" x14ac:dyDescent="0.3">
      <c r="A934" s="2">
        <v>45239</v>
      </c>
      <c r="B934" s="1">
        <v>40000</v>
      </c>
      <c r="C934" s="1" t="s">
        <v>33</v>
      </c>
      <c r="D934" s="1">
        <v>7315.75</v>
      </c>
      <c r="E934" s="1" t="s">
        <v>15</v>
      </c>
      <c r="F934" s="1" t="s">
        <v>20</v>
      </c>
      <c r="G934" s="1" t="s">
        <v>31</v>
      </c>
    </row>
    <row r="935" spans="1:7" x14ac:dyDescent="0.3">
      <c r="A935" s="2">
        <v>45170</v>
      </c>
      <c r="B935" s="1">
        <v>60000</v>
      </c>
      <c r="C935" s="1" t="s">
        <v>33</v>
      </c>
      <c r="D935" s="1">
        <v>2053.1799999999998</v>
      </c>
      <c r="E935" s="1" t="s">
        <v>8</v>
      </c>
      <c r="F935" s="1" t="s">
        <v>9</v>
      </c>
      <c r="G935" s="1" t="s">
        <v>27</v>
      </c>
    </row>
    <row r="936" spans="1:7" x14ac:dyDescent="0.3">
      <c r="A936" s="2">
        <v>44955</v>
      </c>
      <c r="B936" s="1">
        <v>60000</v>
      </c>
      <c r="C936" s="1" t="s">
        <v>33</v>
      </c>
      <c r="D936" s="1">
        <v>9118.9599999999991</v>
      </c>
      <c r="E936" s="1" t="s">
        <v>15</v>
      </c>
      <c r="F936" s="1" t="s">
        <v>32</v>
      </c>
      <c r="G936" s="1" t="s">
        <v>19</v>
      </c>
    </row>
    <row r="937" spans="1:7" x14ac:dyDescent="0.3">
      <c r="A937" s="2">
        <v>45015</v>
      </c>
      <c r="B937" s="1">
        <v>60000</v>
      </c>
      <c r="C937" s="1" t="s">
        <v>33</v>
      </c>
      <c r="D937" s="1">
        <v>3797.43</v>
      </c>
      <c r="E937" s="1" t="s">
        <v>15</v>
      </c>
      <c r="F937" s="1" t="s">
        <v>18</v>
      </c>
      <c r="G937" s="1" t="s">
        <v>12</v>
      </c>
    </row>
    <row r="938" spans="1:7" x14ac:dyDescent="0.3">
      <c r="A938" s="2">
        <v>45158</v>
      </c>
      <c r="B938" s="1">
        <v>60000</v>
      </c>
      <c r="C938" s="1" t="s">
        <v>33</v>
      </c>
      <c r="D938" s="1">
        <v>3347.26</v>
      </c>
      <c r="E938" s="1" t="s">
        <v>15</v>
      </c>
      <c r="F938" s="1" t="s">
        <v>18</v>
      </c>
      <c r="G938" s="1" t="s">
        <v>21</v>
      </c>
    </row>
    <row r="939" spans="1:7" x14ac:dyDescent="0.3">
      <c r="A939" s="2">
        <v>45048</v>
      </c>
      <c r="B939" s="1">
        <v>70000</v>
      </c>
      <c r="C939" s="1" t="s">
        <v>33</v>
      </c>
      <c r="D939" s="1">
        <v>8752.74</v>
      </c>
      <c r="E939" s="1" t="s">
        <v>8</v>
      </c>
      <c r="F939" s="1" t="s">
        <v>9</v>
      </c>
      <c r="G939" s="1" t="s">
        <v>17</v>
      </c>
    </row>
    <row r="940" spans="1:7" x14ac:dyDescent="0.3">
      <c r="A940" s="2">
        <v>45083</v>
      </c>
      <c r="B940" s="1">
        <v>40000</v>
      </c>
      <c r="C940" s="1" t="s">
        <v>33</v>
      </c>
      <c r="D940" s="1">
        <v>2304.88</v>
      </c>
      <c r="E940" s="1" t="s">
        <v>8</v>
      </c>
      <c r="F940" s="1" t="s">
        <v>13</v>
      </c>
      <c r="G940" s="1" t="s">
        <v>23</v>
      </c>
    </row>
    <row r="941" spans="1:7" x14ac:dyDescent="0.3">
      <c r="A941" s="2">
        <v>45181</v>
      </c>
      <c r="B941" s="1">
        <v>80000</v>
      </c>
      <c r="C941" s="1" t="s">
        <v>33</v>
      </c>
      <c r="D941" s="1">
        <v>3826.37</v>
      </c>
      <c r="E941" s="1" t="s">
        <v>15</v>
      </c>
      <c r="F941" s="1" t="s">
        <v>32</v>
      </c>
      <c r="G941" s="1" t="s">
        <v>27</v>
      </c>
    </row>
    <row r="942" spans="1:7" x14ac:dyDescent="0.3">
      <c r="A942" s="2">
        <v>45284</v>
      </c>
      <c r="B942" s="1">
        <v>60000</v>
      </c>
      <c r="C942" s="1" t="s">
        <v>33</v>
      </c>
      <c r="D942" s="1">
        <v>9061.81</v>
      </c>
      <c r="E942" s="1" t="s">
        <v>15</v>
      </c>
      <c r="F942" s="1" t="s">
        <v>20</v>
      </c>
      <c r="G942" s="1" t="s">
        <v>10</v>
      </c>
    </row>
    <row r="943" spans="1:7" x14ac:dyDescent="0.3">
      <c r="A943" s="2">
        <v>45018</v>
      </c>
      <c r="B943" s="1">
        <v>60000</v>
      </c>
      <c r="C943" s="1" t="s">
        <v>33</v>
      </c>
      <c r="D943" s="1">
        <v>5746.78</v>
      </c>
      <c r="E943" s="1" t="s">
        <v>15</v>
      </c>
      <c r="F943" s="1" t="s">
        <v>20</v>
      </c>
      <c r="G943" s="1" t="s">
        <v>30</v>
      </c>
    </row>
    <row r="944" spans="1:7" x14ac:dyDescent="0.3">
      <c r="A944" s="2">
        <v>45205</v>
      </c>
      <c r="B944" s="1">
        <v>40000</v>
      </c>
      <c r="C944" s="1" t="s">
        <v>33</v>
      </c>
      <c r="D944" s="1">
        <v>1487.66</v>
      </c>
      <c r="E944" s="1" t="s">
        <v>15</v>
      </c>
      <c r="F944" s="1" t="s">
        <v>32</v>
      </c>
      <c r="G944" s="1" t="s">
        <v>28</v>
      </c>
    </row>
    <row r="945" spans="1:7" x14ac:dyDescent="0.3">
      <c r="A945" s="2">
        <v>45251</v>
      </c>
      <c r="B945" s="1">
        <v>60000</v>
      </c>
      <c r="C945" s="1" t="s">
        <v>33</v>
      </c>
      <c r="D945" s="1">
        <v>9248.6299999999992</v>
      </c>
      <c r="E945" s="1" t="s">
        <v>8</v>
      </c>
      <c r="F945" s="1" t="s">
        <v>26</v>
      </c>
      <c r="G945" s="1" t="s">
        <v>31</v>
      </c>
    </row>
    <row r="946" spans="1:7" x14ac:dyDescent="0.3">
      <c r="A946" s="2">
        <v>44935</v>
      </c>
      <c r="B946" s="1">
        <v>50000</v>
      </c>
      <c r="C946" s="1" t="s">
        <v>33</v>
      </c>
      <c r="D946" s="1">
        <v>9958.44</v>
      </c>
      <c r="E946" s="1" t="s">
        <v>8</v>
      </c>
      <c r="F946" s="1" t="s">
        <v>9</v>
      </c>
      <c r="G946" s="1" t="s">
        <v>19</v>
      </c>
    </row>
    <row r="947" spans="1:7" x14ac:dyDescent="0.3">
      <c r="A947" s="2">
        <v>44928</v>
      </c>
      <c r="B947" s="1">
        <v>50000</v>
      </c>
      <c r="C947" s="1" t="s">
        <v>33</v>
      </c>
      <c r="D947" s="1">
        <v>4672.37</v>
      </c>
      <c r="E947" s="1" t="s">
        <v>8</v>
      </c>
      <c r="F947" s="1" t="s">
        <v>13</v>
      </c>
      <c r="G947" s="1" t="s">
        <v>19</v>
      </c>
    </row>
    <row r="948" spans="1:7" x14ac:dyDescent="0.3">
      <c r="A948" s="2">
        <v>45148</v>
      </c>
      <c r="B948" s="1">
        <v>90000</v>
      </c>
      <c r="C948" s="1" t="s">
        <v>33</v>
      </c>
      <c r="D948" s="1">
        <v>6252.87</v>
      </c>
      <c r="E948" s="1" t="s">
        <v>8</v>
      </c>
      <c r="F948" s="1" t="s">
        <v>26</v>
      </c>
      <c r="G948" s="1" t="s">
        <v>21</v>
      </c>
    </row>
    <row r="949" spans="1:7" x14ac:dyDescent="0.3">
      <c r="A949" s="2">
        <v>45198</v>
      </c>
      <c r="B949" s="1">
        <v>90000</v>
      </c>
      <c r="C949" s="1" t="s">
        <v>33</v>
      </c>
      <c r="D949" s="1">
        <v>9997.23</v>
      </c>
      <c r="E949" s="1" t="s">
        <v>15</v>
      </c>
      <c r="F949" s="1" t="s">
        <v>32</v>
      </c>
      <c r="G949" s="1" t="s">
        <v>27</v>
      </c>
    </row>
    <row r="950" spans="1:7" x14ac:dyDescent="0.3">
      <c r="A950" s="2">
        <v>45266</v>
      </c>
      <c r="B950" s="1">
        <v>60000</v>
      </c>
      <c r="C950" s="1" t="s">
        <v>33</v>
      </c>
      <c r="D950" s="1">
        <v>517.51</v>
      </c>
      <c r="E950" s="1" t="s">
        <v>8</v>
      </c>
      <c r="F950" s="1" t="s">
        <v>26</v>
      </c>
      <c r="G950" s="1" t="s">
        <v>10</v>
      </c>
    </row>
    <row r="951" spans="1:7" x14ac:dyDescent="0.3">
      <c r="A951" s="2">
        <v>44987</v>
      </c>
      <c r="B951" s="1">
        <v>70000</v>
      </c>
      <c r="C951" s="1" t="s">
        <v>33</v>
      </c>
      <c r="D951" s="1">
        <v>1874.54</v>
      </c>
      <c r="E951" s="1" t="s">
        <v>8</v>
      </c>
      <c r="F951" s="1" t="s">
        <v>22</v>
      </c>
      <c r="G951" s="1" t="s">
        <v>12</v>
      </c>
    </row>
    <row r="952" spans="1:7" x14ac:dyDescent="0.3">
      <c r="A952" s="2">
        <v>45270</v>
      </c>
      <c r="B952" s="1">
        <v>70000</v>
      </c>
      <c r="C952" s="1" t="s">
        <v>33</v>
      </c>
      <c r="D952" s="1">
        <v>2156.9699999999998</v>
      </c>
      <c r="E952" s="1" t="s">
        <v>15</v>
      </c>
      <c r="F952" s="1" t="s">
        <v>20</v>
      </c>
      <c r="G952" s="1" t="s">
        <v>10</v>
      </c>
    </row>
    <row r="953" spans="1:7" x14ac:dyDescent="0.3">
      <c r="A953" s="2">
        <v>45236</v>
      </c>
      <c r="B953" s="1">
        <v>70000</v>
      </c>
      <c r="C953" s="1" t="s">
        <v>33</v>
      </c>
      <c r="D953" s="1">
        <v>9910.17</v>
      </c>
      <c r="E953" s="1" t="s">
        <v>8</v>
      </c>
      <c r="F953" s="1" t="s">
        <v>26</v>
      </c>
      <c r="G953" s="1" t="s">
        <v>31</v>
      </c>
    </row>
    <row r="954" spans="1:7" x14ac:dyDescent="0.3">
      <c r="A954" s="2">
        <v>45092</v>
      </c>
      <c r="B954" s="1">
        <v>70000</v>
      </c>
      <c r="C954" s="1" t="s">
        <v>33</v>
      </c>
      <c r="D954" s="1">
        <v>2043.44</v>
      </c>
      <c r="E954" s="1" t="s">
        <v>15</v>
      </c>
      <c r="F954" s="1" t="s">
        <v>16</v>
      </c>
      <c r="G954" s="1" t="s">
        <v>23</v>
      </c>
    </row>
    <row r="955" spans="1:7" x14ac:dyDescent="0.3">
      <c r="A955" s="2">
        <v>45280</v>
      </c>
      <c r="B955" s="1">
        <v>40000</v>
      </c>
      <c r="C955" s="1" t="s">
        <v>33</v>
      </c>
      <c r="D955" s="1">
        <v>105.48</v>
      </c>
      <c r="E955" s="1" t="s">
        <v>8</v>
      </c>
      <c r="F955" s="1" t="s">
        <v>11</v>
      </c>
      <c r="G955" s="1" t="s">
        <v>10</v>
      </c>
    </row>
    <row r="956" spans="1:7" x14ac:dyDescent="0.3">
      <c r="A956" s="2">
        <v>45284</v>
      </c>
      <c r="B956" s="1">
        <v>60000</v>
      </c>
      <c r="C956" s="1" t="s">
        <v>33</v>
      </c>
      <c r="D956" s="1">
        <v>1320.15</v>
      </c>
      <c r="E956" s="1" t="s">
        <v>8</v>
      </c>
      <c r="F956" s="1" t="s">
        <v>11</v>
      </c>
      <c r="G956" s="1" t="s">
        <v>10</v>
      </c>
    </row>
    <row r="957" spans="1:7" x14ac:dyDescent="0.3">
      <c r="A957" s="2">
        <v>45170</v>
      </c>
      <c r="B957" s="1">
        <v>40000</v>
      </c>
      <c r="C957" s="1" t="s">
        <v>33</v>
      </c>
      <c r="D957" s="1">
        <v>946.27</v>
      </c>
      <c r="E957" s="1" t="s">
        <v>15</v>
      </c>
      <c r="F957" s="1" t="s">
        <v>25</v>
      </c>
      <c r="G957" s="1" t="s">
        <v>27</v>
      </c>
    </row>
    <row r="958" spans="1:7" x14ac:dyDescent="0.3">
      <c r="A958" s="2">
        <v>44985</v>
      </c>
      <c r="B958" s="1">
        <v>70000</v>
      </c>
      <c r="C958" s="1" t="s">
        <v>33</v>
      </c>
      <c r="D958" s="1">
        <v>5347.78</v>
      </c>
      <c r="E958" s="1" t="s">
        <v>15</v>
      </c>
      <c r="F958" s="1" t="s">
        <v>32</v>
      </c>
      <c r="G958" s="1" t="s">
        <v>24</v>
      </c>
    </row>
    <row r="959" spans="1:7" x14ac:dyDescent="0.3">
      <c r="A959" s="2">
        <v>45142</v>
      </c>
      <c r="B959" s="1">
        <v>60000</v>
      </c>
      <c r="C959" s="1" t="s">
        <v>33</v>
      </c>
      <c r="D959" s="1">
        <v>2692.11</v>
      </c>
      <c r="E959" s="1" t="s">
        <v>8</v>
      </c>
      <c r="F959" s="1" t="s">
        <v>9</v>
      </c>
      <c r="G959" s="1" t="s">
        <v>21</v>
      </c>
    </row>
    <row r="960" spans="1:7" x14ac:dyDescent="0.3">
      <c r="A960" s="2">
        <v>44992</v>
      </c>
      <c r="B960" s="1">
        <v>90000</v>
      </c>
      <c r="C960" s="1" t="s">
        <v>33</v>
      </c>
      <c r="D960" s="1">
        <v>5801.92</v>
      </c>
      <c r="E960" s="1" t="s">
        <v>15</v>
      </c>
      <c r="F960" s="1" t="s">
        <v>18</v>
      </c>
      <c r="G960" s="1" t="s">
        <v>12</v>
      </c>
    </row>
    <row r="961" spans="1:7" x14ac:dyDescent="0.3">
      <c r="A961" s="2">
        <v>45236</v>
      </c>
      <c r="B961" s="1">
        <v>60000</v>
      </c>
      <c r="C961" s="1" t="s">
        <v>33</v>
      </c>
      <c r="D961" s="1">
        <v>9696.09</v>
      </c>
      <c r="E961" s="1" t="s">
        <v>15</v>
      </c>
      <c r="F961" s="1" t="s">
        <v>16</v>
      </c>
      <c r="G961" s="1" t="s">
        <v>31</v>
      </c>
    </row>
    <row r="962" spans="1:7" x14ac:dyDescent="0.3">
      <c r="A962" s="2">
        <v>45095</v>
      </c>
      <c r="B962" s="1">
        <v>100000</v>
      </c>
      <c r="C962" s="1" t="s">
        <v>33</v>
      </c>
      <c r="D962" s="1">
        <v>4833.96</v>
      </c>
      <c r="E962" s="1" t="s">
        <v>15</v>
      </c>
      <c r="F962" s="1" t="s">
        <v>18</v>
      </c>
      <c r="G962" s="1" t="s">
        <v>23</v>
      </c>
    </row>
    <row r="963" spans="1:7" x14ac:dyDescent="0.3">
      <c r="A963" s="2">
        <v>45218</v>
      </c>
      <c r="B963" s="1">
        <v>120000</v>
      </c>
      <c r="C963" s="1" t="s">
        <v>33</v>
      </c>
      <c r="D963" s="1">
        <v>9993.81</v>
      </c>
      <c r="E963" s="1" t="s">
        <v>8</v>
      </c>
      <c r="F963" s="1" t="s">
        <v>13</v>
      </c>
      <c r="G963" s="1" t="s">
        <v>28</v>
      </c>
    </row>
    <row r="964" spans="1:7" x14ac:dyDescent="0.3">
      <c r="A964" s="2">
        <v>45110</v>
      </c>
      <c r="B964" s="1">
        <v>60000</v>
      </c>
      <c r="C964" s="1" t="s">
        <v>33</v>
      </c>
      <c r="D964" s="1">
        <v>5767.56</v>
      </c>
      <c r="E964" s="1" t="s">
        <v>8</v>
      </c>
      <c r="F964" s="1" t="s">
        <v>9</v>
      </c>
      <c r="G964" s="1" t="s">
        <v>29</v>
      </c>
    </row>
    <row r="965" spans="1:7" x14ac:dyDescent="0.3">
      <c r="A965" s="2">
        <v>44956</v>
      </c>
      <c r="B965" s="1">
        <v>90000</v>
      </c>
      <c r="C965" s="1" t="s">
        <v>33</v>
      </c>
      <c r="D965" s="1">
        <v>6231.05</v>
      </c>
      <c r="E965" s="1" t="s">
        <v>15</v>
      </c>
      <c r="F965" s="1" t="s">
        <v>16</v>
      </c>
      <c r="G965" s="1" t="s">
        <v>19</v>
      </c>
    </row>
    <row r="966" spans="1:7" x14ac:dyDescent="0.3">
      <c r="A966" s="2">
        <v>45174</v>
      </c>
      <c r="B966" s="1">
        <v>70000</v>
      </c>
      <c r="C966" s="1" t="s">
        <v>33</v>
      </c>
      <c r="D966" s="1">
        <v>2442.41</v>
      </c>
      <c r="E966" s="1" t="s">
        <v>8</v>
      </c>
      <c r="F966" s="1" t="s">
        <v>9</v>
      </c>
      <c r="G966" s="1" t="s">
        <v>27</v>
      </c>
    </row>
    <row r="967" spans="1:7" x14ac:dyDescent="0.3">
      <c r="A967" s="2">
        <v>45270</v>
      </c>
      <c r="B967" s="1">
        <v>50000</v>
      </c>
      <c r="C967" s="1" t="s">
        <v>33</v>
      </c>
      <c r="D967" s="1">
        <v>4402.83</v>
      </c>
      <c r="E967" s="1" t="s">
        <v>15</v>
      </c>
      <c r="F967" s="1" t="s">
        <v>32</v>
      </c>
      <c r="G967" s="1" t="s">
        <v>10</v>
      </c>
    </row>
    <row r="968" spans="1:7" x14ac:dyDescent="0.3">
      <c r="A968" s="2">
        <v>45067</v>
      </c>
      <c r="B968" s="1">
        <v>50000</v>
      </c>
      <c r="C968" s="1" t="s">
        <v>33</v>
      </c>
      <c r="D968" s="1">
        <v>667.86</v>
      </c>
      <c r="E968" s="1" t="s">
        <v>15</v>
      </c>
      <c r="F968" s="1" t="s">
        <v>32</v>
      </c>
      <c r="G968" s="1" t="s">
        <v>17</v>
      </c>
    </row>
    <row r="969" spans="1:7" x14ac:dyDescent="0.3">
      <c r="A969" s="2">
        <v>45271</v>
      </c>
      <c r="B969" s="1">
        <v>80000</v>
      </c>
      <c r="C969" s="1" t="s">
        <v>33</v>
      </c>
      <c r="D969" s="1">
        <v>970.87</v>
      </c>
      <c r="E969" s="1" t="s">
        <v>8</v>
      </c>
      <c r="F969" s="1" t="s">
        <v>9</v>
      </c>
      <c r="G969" s="1" t="s">
        <v>10</v>
      </c>
    </row>
    <row r="970" spans="1:7" x14ac:dyDescent="0.3">
      <c r="A970" s="2">
        <v>45203</v>
      </c>
      <c r="B970" s="1">
        <v>30000</v>
      </c>
      <c r="C970" s="1" t="s">
        <v>33</v>
      </c>
      <c r="D970" s="1">
        <v>9685.16</v>
      </c>
      <c r="E970" s="1" t="s">
        <v>8</v>
      </c>
      <c r="F970" s="1" t="s">
        <v>13</v>
      </c>
      <c r="G970" s="1" t="s">
        <v>28</v>
      </c>
    </row>
    <row r="971" spans="1:7" x14ac:dyDescent="0.3">
      <c r="A971" s="2">
        <v>45094</v>
      </c>
      <c r="B971" s="1">
        <v>60000</v>
      </c>
      <c r="C971" s="1" t="s">
        <v>33</v>
      </c>
      <c r="D971" s="1">
        <v>3665.65</v>
      </c>
      <c r="E971" s="1" t="s">
        <v>8</v>
      </c>
      <c r="F971" s="1" t="s">
        <v>13</v>
      </c>
      <c r="G971" s="1" t="s">
        <v>23</v>
      </c>
    </row>
    <row r="972" spans="1:7" x14ac:dyDescent="0.3">
      <c r="A972" s="2">
        <v>44983</v>
      </c>
      <c r="B972" s="1">
        <v>60000</v>
      </c>
      <c r="C972" s="1" t="s">
        <v>33</v>
      </c>
      <c r="D972" s="1">
        <v>545.5</v>
      </c>
      <c r="E972" s="1" t="s">
        <v>15</v>
      </c>
      <c r="F972" s="1" t="s">
        <v>20</v>
      </c>
      <c r="G972" s="1" t="s">
        <v>24</v>
      </c>
    </row>
    <row r="973" spans="1:7" x14ac:dyDescent="0.3">
      <c r="A973" s="2">
        <v>44961</v>
      </c>
      <c r="B973" s="1">
        <v>60000</v>
      </c>
      <c r="C973" s="1" t="s">
        <v>33</v>
      </c>
      <c r="D973" s="1">
        <v>8233.2000000000007</v>
      </c>
      <c r="E973" s="1" t="s">
        <v>15</v>
      </c>
      <c r="F973" s="1" t="s">
        <v>16</v>
      </c>
      <c r="G973" s="1" t="s">
        <v>24</v>
      </c>
    </row>
    <row r="974" spans="1:7" x14ac:dyDescent="0.3">
      <c r="A974" s="2">
        <v>45120</v>
      </c>
      <c r="B974" s="1">
        <v>30000</v>
      </c>
      <c r="C974" s="1" t="s">
        <v>33</v>
      </c>
      <c r="D974" s="1">
        <v>9503.16</v>
      </c>
      <c r="E974" s="1" t="s">
        <v>15</v>
      </c>
      <c r="F974" s="1" t="s">
        <v>16</v>
      </c>
      <c r="G974" s="1" t="s">
        <v>29</v>
      </c>
    </row>
    <row r="975" spans="1:7" x14ac:dyDescent="0.3">
      <c r="A975" s="2">
        <v>45226</v>
      </c>
      <c r="B975" s="1">
        <v>60000</v>
      </c>
      <c r="C975" s="1" t="s">
        <v>33</v>
      </c>
      <c r="D975" s="1">
        <v>3987.09</v>
      </c>
      <c r="E975" s="1" t="s">
        <v>15</v>
      </c>
      <c r="F975" s="1" t="s">
        <v>20</v>
      </c>
      <c r="G975" s="1" t="s">
        <v>28</v>
      </c>
    </row>
    <row r="976" spans="1:7" x14ac:dyDescent="0.3">
      <c r="A976" s="2">
        <v>45002</v>
      </c>
      <c r="B976" s="1">
        <v>70000</v>
      </c>
      <c r="C976" s="1" t="s">
        <v>33</v>
      </c>
      <c r="D976" s="1">
        <v>1687.55</v>
      </c>
      <c r="E976" s="1" t="s">
        <v>15</v>
      </c>
      <c r="F976" s="1" t="s">
        <v>20</v>
      </c>
      <c r="G976" s="1" t="s">
        <v>12</v>
      </c>
    </row>
    <row r="977" spans="1:7" x14ac:dyDescent="0.3">
      <c r="A977" s="2">
        <v>45106</v>
      </c>
      <c r="B977" s="1">
        <v>70000</v>
      </c>
      <c r="C977" s="1" t="s">
        <v>33</v>
      </c>
      <c r="D977" s="1">
        <v>6791.62</v>
      </c>
      <c r="E977" s="1" t="s">
        <v>15</v>
      </c>
      <c r="F977" s="1" t="s">
        <v>18</v>
      </c>
      <c r="G977" s="1" t="s">
        <v>23</v>
      </c>
    </row>
    <row r="978" spans="1:7" x14ac:dyDescent="0.3">
      <c r="A978" s="2">
        <v>45157</v>
      </c>
      <c r="B978" s="1">
        <v>60000</v>
      </c>
      <c r="C978" s="1" t="s">
        <v>33</v>
      </c>
      <c r="D978" s="1">
        <v>4514.78</v>
      </c>
      <c r="E978" s="1" t="s">
        <v>8</v>
      </c>
      <c r="F978" s="1" t="s">
        <v>9</v>
      </c>
      <c r="G978" s="1" t="s">
        <v>21</v>
      </c>
    </row>
    <row r="979" spans="1:7" x14ac:dyDescent="0.3">
      <c r="A979" s="2">
        <v>45223</v>
      </c>
      <c r="B979" s="1">
        <v>80000</v>
      </c>
      <c r="C979" s="1" t="s">
        <v>33</v>
      </c>
      <c r="D979" s="1">
        <v>5801.04</v>
      </c>
      <c r="E979" s="1" t="s">
        <v>8</v>
      </c>
      <c r="F979" s="1" t="s">
        <v>9</v>
      </c>
      <c r="G979" s="1" t="s">
        <v>28</v>
      </c>
    </row>
    <row r="980" spans="1:7" x14ac:dyDescent="0.3">
      <c r="A980" s="2">
        <v>45025</v>
      </c>
      <c r="B980" s="1">
        <v>80000</v>
      </c>
      <c r="C980" s="1" t="s">
        <v>33</v>
      </c>
      <c r="D980" s="1">
        <v>3034.68</v>
      </c>
      <c r="E980" s="1" t="s">
        <v>15</v>
      </c>
      <c r="F980" s="1" t="s">
        <v>18</v>
      </c>
      <c r="G980" s="1" t="s">
        <v>30</v>
      </c>
    </row>
    <row r="981" spans="1:7" x14ac:dyDescent="0.3">
      <c r="A981" s="2">
        <v>45125</v>
      </c>
      <c r="B981" s="1">
        <v>40000</v>
      </c>
      <c r="C981" s="1" t="s">
        <v>33</v>
      </c>
      <c r="D981" s="1">
        <v>2867.43</v>
      </c>
      <c r="E981" s="1" t="s">
        <v>15</v>
      </c>
      <c r="F981" s="1" t="s">
        <v>20</v>
      </c>
      <c r="G981" s="1" t="s">
        <v>29</v>
      </c>
    </row>
    <row r="982" spans="1:7" x14ac:dyDescent="0.3">
      <c r="A982" s="2">
        <v>45203</v>
      </c>
      <c r="B982" s="1">
        <v>80000</v>
      </c>
      <c r="C982" s="1" t="s">
        <v>33</v>
      </c>
      <c r="D982" s="1">
        <v>1852.36</v>
      </c>
      <c r="E982" s="1" t="s">
        <v>8</v>
      </c>
      <c r="F982" s="1" t="s">
        <v>13</v>
      </c>
      <c r="G982" s="1" t="s">
        <v>28</v>
      </c>
    </row>
    <row r="983" spans="1:7" x14ac:dyDescent="0.3">
      <c r="A983" s="2">
        <v>45015</v>
      </c>
      <c r="B983" s="1">
        <v>110000</v>
      </c>
      <c r="C983" s="1" t="s">
        <v>33</v>
      </c>
      <c r="D983" s="1">
        <v>6074.91</v>
      </c>
      <c r="E983" s="1" t="s">
        <v>15</v>
      </c>
      <c r="F983" s="1" t="s">
        <v>25</v>
      </c>
      <c r="G983" s="1" t="s">
        <v>12</v>
      </c>
    </row>
    <row r="984" spans="1:7" x14ac:dyDescent="0.3">
      <c r="A984" s="2">
        <v>45058</v>
      </c>
      <c r="B984" s="1">
        <v>40000</v>
      </c>
      <c r="C984" s="1" t="s">
        <v>33</v>
      </c>
      <c r="D984" s="1">
        <v>2513.52</v>
      </c>
      <c r="E984" s="1" t="s">
        <v>15</v>
      </c>
      <c r="F984" s="1" t="s">
        <v>25</v>
      </c>
      <c r="G984" s="1" t="s">
        <v>17</v>
      </c>
    </row>
    <row r="985" spans="1:7" x14ac:dyDescent="0.3">
      <c r="A985" s="2">
        <v>45238</v>
      </c>
      <c r="B985" s="1">
        <v>130000</v>
      </c>
      <c r="C985" s="1" t="s">
        <v>33</v>
      </c>
      <c r="D985" s="1">
        <v>9245.9500000000007</v>
      </c>
      <c r="E985" s="1" t="s">
        <v>8</v>
      </c>
      <c r="F985" s="1" t="s">
        <v>26</v>
      </c>
      <c r="G985" s="1" t="s">
        <v>31</v>
      </c>
    </row>
    <row r="986" spans="1:7" x14ac:dyDescent="0.3">
      <c r="A986" s="2">
        <v>45085</v>
      </c>
      <c r="B986" s="1">
        <v>60000</v>
      </c>
      <c r="C986" s="1" t="s">
        <v>33</v>
      </c>
      <c r="D986" s="1">
        <v>1351.89</v>
      </c>
      <c r="E986" s="1" t="s">
        <v>8</v>
      </c>
      <c r="F986" s="1" t="s">
        <v>13</v>
      </c>
      <c r="G986" s="1" t="s">
        <v>23</v>
      </c>
    </row>
    <row r="987" spans="1:7" x14ac:dyDescent="0.3">
      <c r="A987" s="2">
        <v>44930</v>
      </c>
      <c r="B987" s="1">
        <v>50000</v>
      </c>
      <c r="C987" s="1" t="s">
        <v>33</v>
      </c>
      <c r="D987" s="1">
        <v>9328.34</v>
      </c>
      <c r="E987" s="1" t="s">
        <v>8</v>
      </c>
      <c r="F987" s="1" t="s">
        <v>9</v>
      </c>
      <c r="G987" s="1" t="s">
        <v>19</v>
      </c>
    </row>
    <row r="988" spans="1:7" x14ac:dyDescent="0.3">
      <c r="A988" s="2">
        <v>45190</v>
      </c>
      <c r="B988" s="1">
        <v>40000</v>
      </c>
      <c r="C988" s="1" t="s">
        <v>33</v>
      </c>
      <c r="D988" s="1">
        <v>1696.24</v>
      </c>
      <c r="E988" s="1" t="s">
        <v>15</v>
      </c>
      <c r="F988" s="1" t="s">
        <v>25</v>
      </c>
      <c r="G988" s="1" t="s">
        <v>27</v>
      </c>
    </row>
    <row r="989" spans="1:7" x14ac:dyDescent="0.3">
      <c r="A989" s="2">
        <v>45233</v>
      </c>
      <c r="B989" s="1">
        <v>60000</v>
      </c>
      <c r="C989" s="1" t="s">
        <v>33</v>
      </c>
      <c r="D989" s="1">
        <v>8391.58</v>
      </c>
      <c r="E989" s="1" t="s">
        <v>15</v>
      </c>
      <c r="F989" s="1" t="s">
        <v>20</v>
      </c>
      <c r="G989" s="1" t="s">
        <v>31</v>
      </c>
    </row>
    <row r="990" spans="1:7" x14ac:dyDescent="0.3">
      <c r="A990" s="2">
        <v>44964</v>
      </c>
      <c r="B990" s="1">
        <v>70000</v>
      </c>
      <c r="C990" s="1" t="s">
        <v>33</v>
      </c>
      <c r="D990" s="1">
        <v>6574.85</v>
      </c>
      <c r="E990" s="1" t="s">
        <v>15</v>
      </c>
      <c r="F990" s="1" t="s">
        <v>16</v>
      </c>
      <c r="G990" s="1" t="s">
        <v>24</v>
      </c>
    </row>
    <row r="991" spans="1:7" x14ac:dyDescent="0.3">
      <c r="A991" s="2">
        <v>45260</v>
      </c>
      <c r="B991" s="1">
        <v>60000</v>
      </c>
      <c r="C991" s="1" t="s">
        <v>33</v>
      </c>
      <c r="D991" s="1">
        <v>8383.77</v>
      </c>
      <c r="E991" s="1" t="s">
        <v>15</v>
      </c>
      <c r="F991" s="1" t="s">
        <v>20</v>
      </c>
      <c r="G991" s="1" t="s">
        <v>31</v>
      </c>
    </row>
    <row r="992" spans="1:7" x14ac:dyDescent="0.3">
      <c r="A992" s="2">
        <v>45211</v>
      </c>
      <c r="B992" s="1">
        <v>30000</v>
      </c>
      <c r="C992" s="1" t="s">
        <v>33</v>
      </c>
      <c r="D992" s="1">
        <v>3188.48</v>
      </c>
      <c r="E992" s="1" t="s">
        <v>8</v>
      </c>
      <c r="F992" s="1" t="s">
        <v>11</v>
      </c>
      <c r="G992" s="1" t="s">
        <v>28</v>
      </c>
    </row>
    <row r="993" spans="1:7" x14ac:dyDescent="0.3">
      <c r="A993" s="2">
        <v>45239</v>
      </c>
      <c r="B993" s="1">
        <v>60000</v>
      </c>
      <c r="C993" s="1" t="s">
        <v>33</v>
      </c>
      <c r="D993" s="1">
        <v>3144.49</v>
      </c>
      <c r="E993" s="1" t="s">
        <v>15</v>
      </c>
      <c r="F993" s="1" t="s">
        <v>25</v>
      </c>
      <c r="G993" s="1" t="s">
        <v>31</v>
      </c>
    </row>
    <row r="994" spans="1:7" x14ac:dyDescent="0.3">
      <c r="A994" s="2">
        <v>45190</v>
      </c>
      <c r="B994" s="1">
        <v>90000</v>
      </c>
      <c r="C994" s="1" t="s">
        <v>33</v>
      </c>
      <c r="D994" s="1">
        <v>418.94</v>
      </c>
      <c r="E994" s="1" t="s">
        <v>15</v>
      </c>
      <c r="F994" s="1" t="s">
        <v>20</v>
      </c>
      <c r="G994" s="1" t="s">
        <v>27</v>
      </c>
    </row>
    <row r="995" spans="1:7" x14ac:dyDescent="0.3">
      <c r="A995" s="2">
        <v>45042</v>
      </c>
      <c r="B995" s="1">
        <v>150000</v>
      </c>
      <c r="C995" s="1" t="s">
        <v>33</v>
      </c>
      <c r="D995" s="1">
        <v>6370.94</v>
      </c>
      <c r="E995" s="1" t="s">
        <v>15</v>
      </c>
      <c r="F995" s="1" t="s">
        <v>32</v>
      </c>
      <c r="G995" s="1" t="s">
        <v>30</v>
      </c>
    </row>
    <row r="996" spans="1:7" x14ac:dyDescent="0.3">
      <c r="A996" s="2">
        <v>45167</v>
      </c>
      <c r="B996" s="1">
        <v>80000</v>
      </c>
      <c r="C996" s="1" t="s">
        <v>33</v>
      </c>
      <c r="D996" s="1">
        <v>6900.46</v>
      </c>
      <c r="E996" s="1" t="s">
        <v>15</v>
      </c>
      <c r="F996" s="1" t="s">
        <v>25</v>
      </c>
      <c r="G996" s="1" t="s">
        <v>21</v>
      </c>
    </row>
    <row r="997" spans="1:7" x14ac:dyDescent="0.3">
      <c r="A997" s="2">
        <v>45058</v>
      </c>
      <c r="B997" s="1">
        <v>60000</v>
      </c>
      <c r="C997" s="1" t="s">
        <v>33</v>
      </c>
      <c r="D997" s="1">
        <v>4450.01</v>
      </c>
      <c r="E997" s="1" t="s">
        <v>8</v>
      </c>
      <c r="F997" s="1" t="s">
        <v>13</v>
      </c>
      <c r="G997" s="1" t="s">
        <v>17</v>
      </c>
    </row>
    <row r="998" spans="1:7" x14ac:dyDescent="0.3">
      <c r="A998" s="2">
        <v>45011</v>
      </c>
      <c r="B998" s="1">
        <v>70000</v>
      </c>
      <c r="C998" s="1" t="s">
        <v>33</v>
      </c>
      <c r="D998" s="1">
        <v>6873.51</v>
      </c>
      <c r="E998" s="1" t="s">
        <v>8</v>
      </c>
      <c r="F998" s="1" t="s">
        <v>11</v>
      </c>
      <c r="G998" s="1" t="s">
        <v>12</v>
      </c>
    </row>
    <row r="999" spans="1:7" x14ac:dyDescent="0.3">
      <c r="A999" s="2">
        <v>45000</v>
      </c>
      <c r="B999" s="1">
        <v>60000</v>
      </c>
      <c r="C999" s="1" t="s">
        <v>33</v>
      </c>
      <c r="D999" s="1">
        <v>4341.6499999999996</v>
      </c>
      <c r="E999" s="1" t="s">
        <v>8</v>
      </c>
      <c r="F999" s="1" t="s">
        <v>9</v>
      </c>
      <c r="G999" s="1" t="s">
        <v>12</v>
      </c>
    </row>
    <row r="1000" spans="1:7" x14ac:dyDescent="0.3">
      <c r="A1000" s="2">
        <v>45073</v>
      </c>
      <c r="B1000" s="1">
        <v>100000</v>
      </c>
      <c r="C1000" s="1" t="s">
        <v>33</v>
      </c>
      <c r="D1000" s="1">
        <v>5193.22</v>
      </c>
      <c r="E1000" s="1" t="s">
        <v>15</v>
      </c>
      <c r="F1000" s="1" t="s">
        <v>18</v>
      </c>
      <c r="G1000" s="1" t="s">
        <v>17</v>
      </c>
    </row>
    <row r="1001" spans="1:7" x14ac:dyDescent="0.3">
      <c r="A1001" s="2">
        <v>45219</v>
      </c>
      <c r="B1001" s="1">
        <v>60000</v>
      </c>
      <c r="C1001" s="1" t="s">
        <v>33</v>
      </c>
      <c r="D1001" s="1">
        <v>1585.09</v>
      </c>
      <c r="E1001" s="1" t="s">
        <v>8</v>
      </c>
      <c r="F1001" s="1" t="s">
        <v>22</v>
      </c>
      <c r="G1001" s="1" t="s">
        <v>28</v>
      </c>
    </row>
    <row r="1002" spans="1:7" x14ac:dyDescent="0.3">
      <c r="A1002" s="2">
        <v>44935</v>
      </c>
      <c r="B1002" s="1">
        <v>10000</v>
      </c>
      <c r="C1002" s="1" t="s">
        <v>7</v>
      </c>
      <c r="D1002" s="1">
        <v>4533.1899999999996</v>
      </c>
      <c r="E1002" s="1" t="s">
        <v>15</v>
      </c>
      <c r="F1002" s="1" t="s">
        <v>25</v>
      </c>
      <c r="G1002" s="1" t="s">
        <v>19</v>
      </c>
    </row>
    <row r="1003" spans="1:7" x14ac:dyDescent="0.3">
      <c r="A1003" s="2">
        <v>45010</v>
      </c>
      <c r="B1003" s="1">
        <v>120000</v>
      </c>
      <c r="C1003" s="1" t="s">
        <v>7</v>
      </c>
      <c r="D1003" s="1">
        <v>4168.33</v>
      </c>
      <c r="E1003" s="1" t="s">
        <v>8</v>
      </c>
      <c r="F1003" s="1" t="s">
        <v>13</v>
      </c>
      <c r="G1003" s="1" t="s">
        <v>12</v>
      </c>
    </row>
    <row r="1004" spans="1:7" x14ac:dyDescent="0.3">
      <c r="A1004" s="2">
        <v>45102</v>
      </c>
      <c r="B1004" s="1">
        <v>30000</v>
      </c>
      <c r="C1004" s="1" t="s">
        <v>14</v>
      </c>
      <c r="D1004" s="1">
        <v>1082.1600000000001</v>
      </c>
      <c r="E1004" s="1" t="s">
        <v>8</v>
      </c>
      <c r="F1004" s="1" t="s">
        <v>9</v>
      </c>
      <c r="G1004" s="1" t="s">
        <v>23</v>
      </c>
    </row>
    <row r="1005" spans="1:7" x14ac:dyDescent="0.3">
      <c r="A1005" s="2">
        <v>45278</v>
      </c>
      <c r="B1005" s="1">
        <v>90000</v>
      </c>
      <c r="C1005" s="1" t="s">
        <v>14</v>
      </c>
      <c r="D1005" s="1">
        <v>7425.44</v>
      </c>
      <c r="E1005" s="1" t="s">
        <v>8</v>
      </c>
      <c r="F1005" s="1" t="s">
        <v>22</v>
      </c>
      <c r="G1005" s="1" t="s">
        <v>10</v>
      </c>
    </row>
    <row r="1006" spans="1:7" x14ac:dyDescent="0.3">
      <c r="A1006" s="2">
        <v>45005</v>
      </c>
      <c r="B1006" s="1">
        <v>170000</v>
      </c>
      <c r="C1006" s="1" t="s">
        <v>7</v>
      </c>
      <c r="D1006" s="1">
        <v>691.63</v>
      </c>
      <c r="E1006" s="1" t="s">
        <v>15</v>
      </c>
      <c r="F1006" s="1" t="s">
        <v>25</v>
      </c>
      <c r="G1006" s="1" t="s">
        <v>12</v>
      </c>
    </row>
    <row r="1007" spans="1:7" x14ac:dyDescent="0.3">
      <c r="A1007" s="2">
        <v>45040</v>
      </c>
      <c r="B1007" s="1">
        <v>40000</v>
      </c>
      <c r="C1007" s="1" t="s">
        <v>7</v>
      </c>
      <c r="D1007" s="1">
        <v>5270.66</v>
      </c>
      <c r="E1007" s="1" t="s">
        <v>8</v>
      </c>
      <c r="F1007" s="1" t="s">
        <v>11</v>
      </c>
      <c r="G1007" s="1" t="s">
        <v>30</v>
      </c>
    </row>
    <row r="1008" spans="1:7" x14ac:dyDescent="0.3">
      <c r="A1008" s="2">
        <v>45129</v>
      </c>
      <c r="B1008" s="1">
        <v>60000</v>
      </c>
      <c r="C1008" s="1" t="s">
        <v>14</v>
      </c>
      <c r="D1008" s="1">
        <v>9537.9599999999991</v>
      </c>
      <c r="E1008" s="1" t="s">
        <v>15</v>
      </c>
      <c r="F1008" s="1" t="s">
        <v>25</v>
      </c>
      <c r="G1008" s="1" t="s">
        <v>29</v>
      </c>
    </row>
    <row r="1009" spans="1:7" x14ac:dyDescent="0.3">
      <c r="A1009" s="2">
        <v>45172</v>
      </c>
      <c r="B1009" s="1">
        <v>10000</v>
      </c>
      <c r="C1009" s="1" t="s">
        <v>7</v>
      </c>
      <c r="D1009" s="1">
        <v>5912.08</v>
      </c>
      <c r="E1009" s="1" t="s">
        <v>8</v>
      </c>
      <c r="F1009" s="1" t="s">
        <v>9</v>
      </c>
      <c r="G1009" s="1" t="s">
        <v>27</v>
      </c>
    </row>
    <row r="1010" spans="1:7" x14ac:dyDescent="0.3">
      <c r="A1010" s="2">
        <v>45273</v>
      </c>
      <c r="B1010" s="1">
        <v>30000</v>
      </c>
      <c r="C1010" s="1" t="s">
        <v>14</v>
      </c>
      <c r="D1010" s="1">
        <v>2390.48</v>
      </c>
      <c r="E1010" s="1" t="s">
        <v>8</v>
      </c>
      <c r="F1010" s="1" t="s">
        <v>26</v>
      </c>
      <c r="G1010" s="1" t="s">
        <v>10</v>
      </c>
    </row>
    <row r="1011" spans="1:7" x14ac:dyDescent="0.3">
      <c r="A1011" s="2">
        <v>44972</v>
      </c>
      <c r="B1011" s="1">
        <v>30000</v>
      </c>
      <c r="C1011" s="1" t="s">
        <v>7</v>
      </c>
      <c r="D1011" s="1">
        <v>2650.11</v>
      </c>
      <c r="E1011" s="1" t="s">
        <v>8</v>
      </c>
      <c r="F1011" s="1" t="s">
        <v>22</v>
      </c>
      <c r="G1011" s="1" t="s">
        <v>24</v>
      </c>
    </row>
    <row r="1012" spans="1:7" x14ac:dyDescent="0.3">
      <c r="A1012" s="2">
        <v>45021</v>
      </c>
      <c r="B1012" s="1">
        <v>40000</v>
      </c>
      <c r="C1012" s="1" t="s">
        <v>7</v>
      </c>
      <c r="D1012" s="1">
        <v>4080.21</v>
      </c>
      <c r="E1012" s="1" t="s">
        <v>8</v>
      </c>
      <c r="F1012" s="1" t="s">
        <v>11</v>
      </c>
      <c r="G1012" s="1" t="s">
        <v>30</v>
      </c>
    </row>
    <row r="1013" spans="1:7" x14ac:dyDescent="0.3">
      <c r="A1013" s="2">
        <v>45194</v>
      </c>
      <c r="B1013" s="1">
        <v>20000</v>
      </c>
      <c r="C1013" s="1" t="s">
        <v>14</v>
      </c>
      <c r="D1013" s="1">
        <v>4303.92</v>
      </c>
      <c r="E1013" s="1" t="s">
        <v>8</v>
      </c>
      <c r="F1013" s="1" t="s">
        <v>13</v>
      </c>
      <c r="G1013" s="1" t="s">
        <v>27</v>
      </c>
    </row>
    <row r="1014" spans="1:7" x14ac:dyDescent="0.3">
      <c r="A1014" s="2">
        <v>45068</v>
      </c>
      <c r="B1014" s="1">
        <v>40000</v>
      </c>
      <c r="C1014" s="1" t="s">
        <v>7</v>
      </c>
      <c r="D1014" s="1">
        <v>8184.76</v>
      </c>
      <c r="E1014" s="1" t="s">
        <v>15</v>
      </c>
      <c r="F1014" s="1" t="s">
        <v>18</v>
      </c>
      <c r="G1014" s="1" t="s">
        <v>17</v>
      </c>
    </row>
    <row r="1015" spans="1:7" x14ac:dyDescent="0.3">
      <c r="A1015" s="2">
        <v>44938</v>
      </c>
      <c r="B1015" s="1">
        <v>80000</v>
      </c>
      <c r="C1015" s="1" t="s">
        <v>14</v>
      </c>
      <c r="D1015" s="1">
        <v>1473.76</v>
      </c>
      <c r="E1015" s="1" t="s">
        <v>15</v>
      </c>
      <c r="F1015" s="1" t="s">
        <v>25</v>
      </c>
      <c r="G1015" s="1" t="s">
        <v>19</v>
      </c>
    </row>
    <row r="1016" spans="1:7" x14ac:dyDescent="0.3">
      <c r="A1016" s="2">
        <v>45097</v>
      </c>
      <c r="B1016" s="1">
        <v>40000</v>
      </c>
      <c r="C1016" s="1" t="s">
        <v>7</v>
      </c>
      <c r="D1016" s="1">
        <v>5217.05</v>
      </c>
      <c r="E1016" s="1" t="s">
        <v>15</v>
      </c>
      <c r="F1016" s="1" t="s">
        <v>32</v>
      </c>
      <c r="G1016" s="1" t="s">
        <v>23</v>
      </c>
    </row>
    <row r="1017" spans="1:7" x14ac:dyDescent="0.3">
      <c r="A1017" s="2">
        <v>45226</v>
      </c>
      <c r="B1017" s="1">
        <v>80000</v>
      </c>
      <c r="C1017" s="1" t="s">
        <v>7</v>
      </c>
      <c r="D1017" s="1">
        <v>3284.35</v>
      </c>
      <c r="E1017" s="1" t="s">
        <v>15</v>
      </c>
      <c r="F1017" s="1" t="s">
        <v>18</v>
      </c>
      <c r="G1017" s="1" t="s">
        <v>28</v>
      </c>
    </row>
    <row r="1018" spans="1:7" x14ac:dyDescent="0.3">
      <c r="A1018" s="2">
        <v>45133</v>
      </c>
      <c r="B1018" s="1">
        <v>40000</v>
      </c>
      <c r="C1018" s="1" t="s">
        <v>7</v>
      </c>
      <c r="D1018" s="1">
        <v>9109.7900000000009</v>
      </c>
      <c r="E1018" s="1" t="s">
        <v>8</v>
      </c>
      <c r="F1018" s="1" t="s">
        <v>22</v>
      </c>
      <c r="G1018" s="1" t="s">
        <v>29</v>
      </c>
    </row>
    <row r="1019" spans="1:7" x14ac:dyDescent="0.3">
      <c r="A1019" s="2">
        <v>45064</v>
      </c>
      <c r="B1019" s="1">
        <v>30000</v>
      </c>
      <c r="C1019" s="1" t="s">
        <v>7</v>
      </c>
      <c r="D1019" s="1">
        <v>2877.45</v>
      </c>
      <c r="E1019" s="1" t="s">
        <v>8</v>
      </c>
      <c r="F1019" s="1" t="s">
        <v>22</v>
      </c>
      <c r="G1019" s="1" t="s">
        <v>17</v>
      </c>
    </row>
    <row r="1020" spans="1:7" x14ac:dyDescent="0.3">
      <c r="A1020" s="2">
        <v>45244</v>
      </c>
      <c r="B1020" s="1">
        <v>30000</v>
      </c>
      <c r="C1020" s="1" t="s">
        <v>7</v>
      </c>
      <c r="D1020" s="1">
        <v>8300.19</v>
      </c>
      <c r="E1020" s="1" t="s">
        <v>8</v>
      </c>
      <c r="F1020" s="1" t="s">
        <v>9</v>
      </c>
      <c r="G1020" s="1" t="s">
        <v>31</v>
      </c>
    </row>
    <row r="1021" spans="1:7" x14ac:dyDescent="0.3">
      <c r="A1021" s="2">
        <v>45260</v>
      </c>
      <c r="B1021" s="1">
        <v>100000</v>
      </c>
      <c r="C1021" s="1" t="s">
        <v>14</v>
      </c>
      <c r="D1021" s="1">
        <v>8938.2199999999993</v>
      </c>
      <c r="E1021" s="1" t="s">
        <v>8</v>
      </c>
      <c r="F1021" s="1" t="s">
        <v>9</v>
      </c>
      <c r="G1021" s="1" t="s">
        <v>31</v>
      </c>
    </row>
    <row r="1022" spans="1:7" x14ac:dyDescent="0.3">
      <c r="A1022" s="2">
        <v>45148</v>
      </c>
      <c r="B1022" s="1">
        <v>70000</v>
      </c>
      <c r="C1022" s="1" t="s">
        <v>14</v>
      </c>
      <c r="D1022" s="1">
        <v>4397.3599999999997</v>
      </c>
      <c r="E1022" s="1" t="s">
        <v>15</v>
      </c>
      <c r="F1022" s="1" t="s">
        <v>20</v>
      </c>
      <c r="G1022" s="1" t="s">
        <v>21</v>
      </c>
    </row>
    <row r="1023" spans="1:7" x14ac:dyDescent="0.3">
      <c r="A1023" s="2">
        <v>45273</v>
      </c>
      <c r="B1023" s="1">
        <v>20000</v>
      </c>
      <c r="C1023" s="1" t="s">
        <v>7</v>
      </c>
      <c r="D1023" s="1">
        <v>5534.33</v>
      </c>
      <c r="E1023" s="1" t="s">
        <v>15</v>
      </c>
      <c r="F1023" s="1" t="s">
        <v>25</v>
      </c>
      <c r="G1023" s="1" t="s">
        <v>10</v>
      </c>
    </row>
    <row r="1024" spans="1:7" x14ac:dyDescent="0.3">
      <c r="A1024" s="2">
        <v>45009</v>
      </c>
      <c r="B1024" s="1">
        <v>20000</v>
      </c>
      <c r="C1024" s="1" t="s">
        <v>7</v>
      </c>
      <c r="D1024" s="1">
        <v>8735.4500000000007</v>
      </c>
      <c r="E1024" s="1" t="s">
        <v>15</v>
      </c>
      <c r="F1024" s="1" t="s">
        <v>16</v>
      </c>
      <c r="G1024" s="1" t="s">
        <v>12</v>
      </c>
    </row>
    <row r="1025" spans="1:7" x14ac:dyDescent="0.3">
      <c r="A1025" s="2">
        <v>45183</v>
      </c>
      <c r="B1025" s="1">
        <v>10000</v>
      </c>
      <c r="C1025" s="1" t="s">
        <v>14</v>
      </c>
      <c r="D1025" s="1">
        <v>7402.9</v>
      </c>
      <c r="E1025" s="1" t="s">
        <v>8</v>
      </c>
      <c r="F1025" s="1" t="s">
        <v>26</v>
      </c>
      <c r="G1025" s="1" t="s">
        <v>27</v>
      </c>
    </row>
    <row r="1026" spans="1:7" x14ac:dyDescent="0.3">
      <c r="A1026" s="2">
        <v>45282</v>
      </c>
      <c r="B1026" s="1">
        <v>20000</v>
      </c>
      <c r="C1026" s="1" t="s">
        <v>7</v>
      </c>
      <c r="D1026" s="1">
        <v>8745.0499999999993</v>
      </c>
      <c r="E1026" s="1" t="s">
        <v>15</v>
      </c>
      <c r="F1026" s="1" t="s">
        <v>20</v>
      </c>
      <c r="G1026" s="1" t="s">
        <v>10</v>
      </c>
    </row>
    <row r="1027" spans="1:7" x14ac:dyDescent="0.3">
      <c r="A1027" s="2">
        <v>45160</v>
      </c>
      <c r="B1027" s="1">
        <v>80000</v>
      </c>
      <c r="C1027" s="1" t="s">
        <v>14</v>
      </c>
      <c r="D1027" s="1">
        <v>1659.04</v>
      </c>
      <c r="E1027" s="1" t="s">
        <v>15</v>
      </c>
      <c r="F1027" s="1" t="s">
        <v>20</v>
      </c>
      <c r="G1027" s="1" t="s">
        <v>21</v>
      </c>
    </row>
    <row r="1028" spans="1:7" x14ac:dyDescent="0.3">
      <c r="A1028" s="2"/>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CF1FE-FF28-4C71-A120-017DC01BF775}">
  <dimension ref="A1:G110"/>
  <sheetViews>
    <sheetView workbookViewId="0">
      <selection activeCell="A3" sqref="A3:G110"/>
    </sheetView>
  </sheetViews>
  <sheetFormatPr defaultRowHeight="14.4" x14ac:dyDescent="0.3"/>
  <cols>
    <col min="1" max="1" width="12.6640625" bestFit="1" customWidth="1"/>
    <col min="2" max="2" width="9.44140625" bestFit="1" customWidth="1"/>
    <col min="3" max="3" width="12.6640625" bestFit="1" customWidth="1"/>
    <col min="4" max="4" width="9" bestFit="1" customWidth="1"/>
    <col min="5" max="5" width="17.5546875" bestFit="1" customWidth="1"/>
    <col min="6" max="6" width="21.5546875" bestFit="1" customWidth="1"/>
    <col min="7" max="7" width="9.77734375" bestFit="1" customWidth="1"/>
  </cols>
  <sheetData>
    <row r="1" spans="1:7" x14ac:dyDescent="0.3">
      <c r="A1" s="17" t="s">
        <v>42</v>
      </c>
    </row>
    <row r="3" spans="1:7" x14ac:dyDescent="0.3">
      <c r="A3" t="s">
        <v>6</v>
      </c>
      <c r="B3" t="s">
        <v>0</v>
      </c>
      <c r="C3" t="s">
        <v>1</v>
      </c>
      <c r="D3" t="s">
        <v>2</v>
      </c>
      <c r="E3" t="s">
        <v>3</v>
      </c>
      <c r="F3" t="s">
        <v>4</v>
      </c>
      <c r="G3" t="s">
        <v>5</v>
      </c>
    </row>
    <row r="4" spans="1:7" x14ac:dyDescent="0.3">
      <c r="A4" s="16">
        <v>45226</v>
      </c>
      <c r="B4">
        <v>80000</v>
      </c>
      <c r="C4" t="s">
        <v>7</v>
      </c>
      <c r="D4">
        <v>3284.35</v>
      </c>
      <c r="E4" t="s">
        <v>15</v>
      </c>
      <c r="F4" t="s">
        <v>18</v>
      </c>
      <c r="G4" t="s">
        <v>28</v>
      </c>
    </row>
    <row r="5" spans="1:7" x14ac:dyDescent="0.3">
      <c r="A5" s="16">
        <v>45068</v>
      </c>
      <c r="B5">
        <v>40000</v>
      </c>
      <c r="C5" t="s">
        <v>7</v>
      </c>
      <c r="D5">
        <v>8184.76</v>
      </c>
      <c r="E5" t="s">
        <v>15</v>
      </c>
      <c r="F5" t="s">
        <v>18</v>
      </c>
      <c r="G5" t="s">
        <v>17</v>
      </c>
    </row>
    <row r="6" spans="1:7" x14ac:dyDescent="0.3">
      <c r="A6" s="16">
        <v>45073</v>
      </c>
      <c r="B6">
        <v>100000</v>
      </c>
      <c r="C6" t="s">
        <v>33</v>
      </c>
      <c r="D6">
        <v>5193.22</v>
      </c>
      <c r="E6" t="s">
        <v>15</v>
      </c>
      <c r="F6" t="s">
        <v>18</v>
      </c>
      <c r="G6" t="s">
        <v>17</v>
      </c>
    </row>
    <row r="7" spans="1:7" x14ac:dyDescent="0.3">
      <c r="A7" s="16">
        <v>45025</v>
      </c>
      <c r="B7">
        <v>80000</v>
      </c>
      <c r="C7" t="s">
        <v>33</v>
      </c>
      <c r="D7">
        <v>3034.68</v>
      </c>
      <c r="E7" t="s">
        <v>15</v>
      </c>
      <c r="F7" t="s">
        <v>18</v>
      </c>
      <c r="G7" t="s">
        <v>30</v>
      </c>
    </row>
    <row r="8" spans="1:7" x14ac:dyDescent="0.3">
      <c r="A8" s="16">
        <v>45016</v>
      </c>
      <c r="B8">
        <v>30000</v>
      </c>
      <c r="C8" t="s">
        <v>7</v>
      </c>
      <c r="D8">
        <v>5387.26</v>
      </c>
      <c r="E8" t="s">
        <v>15</v>
      </c>
      <c r="F8" t="s">
        <v>18</v>
      </c>
      <c r="G8" t="s">
        <v>12</v>
      </c>
    </row>
    <row r="9" spans="1:7" x14ac:dyDescent="0.3">
      <c r="A9" s="16">
        <v>45106</v>
      </c>
      <c r="B9">
        <v>70000</v>
      </c>
      <c r="C9" t="s">
        <v>33</v>
      </c>
      <c r="D9">
        <v>6791.62</v>
      </c>
      <c r="E9" t="s">
        <v>15</v>
      </c>
      <c r="F9" t="s">
        <v>18</v>
      </c>
      <c r="G9" t="s">
        <v>23</v>
      </c>
    </row>
    <row r="10" spans="1:7" x14ac:dyDescent="0.3">
      <c r="A10" s="16">
        <v>45095</v>
      </c>
      <c r="B10">
        <v>100000</v>
      </c>
      <c r="C10" t="s">
        <v>33</v>
      </c>
      <c r="D10">
        <v>4833.96</v>
      </c>
      <c r="E10" t="s">
        <v>15</v>
      </c>
      <c r="F10" t="s">
        <v>18</v>
      </c>
      <c r="G10" t="s">
        <v>23</v>
      </c>
    </row>
    <row r="11" spans="1:7" x14ac:dyDescent="0.3">
      <c r="A11" s="16">
        <v>44992</v>
      </c>
      <c r="B11">
        <v>90000</v>
      </c>
      <c r="C11" t="s">
        <v>33</v>
      </c>
      <c r="D11">
        <v>5801.92</v>
      </c>
      <c r="E11" t="s">
        <v>15</v>
      </c>
      <c r="F11" t="s">
        <v>18</v>
      </c>
      <c r="G11" t="s">
        <v>12</v>
      </c>
    </row>
    <row r="12" spans="1:7" x14ac:dyDescent="0.3">
      <c r="A12" s="16">
        <v>45158</v>
      </c>
      <c r="B12">
        <v>60000</v>
      </c>
      <c r="C12" t="s">
        <v>33</v>
      </c>
      <c r="D12">
        <v>3347.26</v>
      </c>
      <c r="E12" t="s">
        <v>15</v>
      </c>
      <c r="F12" t="s">
        <v>18</v>
      </c>
      <c r="G12" t="s">
        <v>21</v>
      </c>
    </row>
    <row r="13" spans="1:7" x14ac:dyDescent="0.3">
      <c r="A13" s="16">
        <v>45015</v>
      </c>
      <c r="B13">
        <v>60000</v>
      </c>
      <c r="C13" t="s">
        <v>33</v>
      </c>
      <c r="D13">
        <v>3797.43</v>
      </c>
      <c r="E13" t="s">
        <v>15</v>
      </c>
      <c r="F13" t="s">
        <v>18</v>
      </c>
      <c r="G13" t="s">
        <v>12</v>
      </c>
    </row>
    <row r="14" spans="1:7" x14ac:dyDescent="0.3">
      <c r="A14" s="16">
        <v>45063</v>
      </c>
      <c r="B14">
        <v>40000</v>
      </c>
      <c r="C14" t="s">
        <v>33</v>
      </c>
      <c r="D14">
        <v>7520.22</v>
      </c>
      <c r="E14" t="s">
        <v>15</v>
      </c>
      <c r="F14" t="s">
        <v>18</v>
      </c>
      <c r="G14" t="s">
        <v>17</v>
      </c>
    </row>
    <row r="15" spans="1:7" x14ac:dyDescent="0.3">
      <c r="A15" s="16">
        <v>45009</v>
      </c>
      <c r="B15">
        <v>70000</v>
      </c>
      <c r="C15" t="s">
        <v>33</v>
      </c>
      <c r="D15">
        <v>210.79</v>
      </c>
      <c r="E15" t="s">
        <v>15</v>
      </c>
      <c r="F15" t="s">
        <v>18</v>
      </c>
      <c r="G15" t="s">
        <v>12</v>
      </c>
    </row>
    <row r="16" spans="1:7" x14ac:dyDescent="0.3">
      <c r="A16" s="16">
        <v>45089</v>
      </c>
      <c r="B16">
        <v>50000</v>
      </c>
      <c r="C16" t="s">
        <v>33</v>
      </c>
      <c r="D16">
        <v>8289.1</v>
      </c>
      <c r="E16" t="s">
        <v>15</v>
      </c>
      <c r="F16" t="s">
        <v>18</v>
      </c>
      <c r="G16" t="s">
        <v>23</v>
      </c>
    </row>
    <row r="17" spans="1:7" x14ac:dyDescent="0.3">
      <c r="A17" s="16">
        <v>45089</v>
      </c>
      <c r="B17">
        <v>40000</v>
      </c>
      <c r="C17" t="s">
        <v>7</v>
      </c>
      <c r="D17">
        <v>6893.26</v>
      </c>
      <c r="E17" t="s">
        <v>15</v>
      </c>
      <c r="F17" t="s">
        <v>18</v>
      </c>
      <c r="G17" t="s">
        <v>23</v>
      </c>
    </row>
    <row r="18" spans="1:7" x14ac:dyDescent="0.3">
      <c r="A18" s="16">
        <v>45222</v>
      </c>
      <c r="B18">
        <v>90000</v>
      </c>
      <c r="C18" t="s">
        <v>33</v>
      </c>
      <c r="D18">
        <v>8225.41</v>
      </c>
      <c r="E18" t="s">
        <v>15</v>
      </c>
      <c r="F18" t="s">
        <v>18</v>
      </c>
      <c r="G18" t="s">
        <v>28</v>
      </c>
    </row>
    <row r="19" spans="1:7" x14ac:dyDescent="0.3">
      <c r="A19" s="16">
        <v>45000</v>
      </c>
      <c r="B19">
        <v>80000</v>
      </c>
      <c r="C19" t="s">
        <v>33</v>
      </c>
      <c r="D19">
        <v>7854.53</v>
      </c>
      <c r="E19" t="s">
        <v>15</v>
      </c>
      <c r="F19" t="s">
        <v>18</v>
      </c>
      <c r="G19" t="s">
        <v>12</v>
      </c>
    </row>
    <row r="20" spans="1:7" x14ac:dyDescent="0.3">
      <c r="A20" s="16">
        <v>45073</v>
      </c>
      <c r="B20">
        <v>60000</v>
      </c>
      <c r="C20" t="s">
        <v>33</v>
      </c>
      <c r="D20">
        <v>3233.33</v>
      </c>
      <c r="E20" t="s">
        <v>15</v>
      </c>
      <c r="F20" t="s">
        <v>18</v>
      </c>
      <c r="G20" t="s">
        <v>17</v>
      </c>
    </row>
    <row r="21" spans="1:7" x14ac:dyDescent="0.3">
      <c r="A21" s="16">
        <v>45057</v>
      </c>
      <c r="B21">
        <v>70000</v>
      </c>
      <c r="C21" t="s">
        <v>33</v>
      </c>
      <c r="D21">
        <v>7290.47</v>
      </c>
      <c r="E21" t="s">
        <v>15</v>
      </c>
      <c r="F21" t="s">
        <v>18</v>
      </c>
      <c r="G21" t="s">
        <v>17</v>
      </c>
    </row>
    <row r="22" spans="1:7" x14ac:dyDescent="0.3">
      <c r="A22" s="16">
        <v>44941</v>
      </c>
      <c r="B22">
        <v>70000</v>
      </c>
      <c r="C22" t="s">
        <v>33</v>
      </c>
      <c r="D22">
        <v>4089.09</v>
      </c>
      <c r="E22" t="s">
        <v>15</v>
      </c>
      <c r="F22" t="s">
        <v>18</v>
      </c>
      <c r="G22" t="s">
        <v>19</v>
      </c>
    </row>
    <row r="23" spans="1:7" x14ac:dyDescent="0.3">
      <c r="A23" s="16">
        <v>45034</v>
      </c>
      <c r="B23">
        <v>100000</v>
      </c>
      <c r="C23" t="s">
        <v>33</v>
      </c>
      <c r="D23">
        <v>1547.8</v>
      </c>
      <c r="E23" t="s">
        <v>15</v>
      </c>
      <c r="F23" t="s">
        <v>18</v>
      </c>
      <c r="G23" t="s">
        <v>30</v>
      </c>
    </row>
    <row r="24" spans="1:7" x14ac:dyDescent="0.3">
      <c r="A24" s="16">
        <v>44970</v>
      </c>
      <c r="B24">
        <v>80000</v>
      </c>
      <c r="C24" t="s">
        <v>33</v>
      </c>
      <c r="D24">
        <v>7228.4</v>
      </c>
      <c r="E24" t="s">
        <v>15</v>
      </c>
      <c r="F24" t="s">
        <v>18</v>
      </c>
      <c r="G24" t="s">
        <v>24</v>
      </c>
    </row>
    <row r="25" spans="1:7" x14ac:dyDescent="0.3">
      <c r="A25" s="16">
        <v>45268</v>
      </c>
      <c r="B25">
        <v>70000</v>
      </c>
      <c r="C25" t="s">
        <v>33</v>
      </c>
      <c r="D25">
        <v>8877.19</v>
      </c>
      <c r="E25" t="s">
        <v>15</v>
      </c>
      <c r="F25" t="s">
        <v>18</v>
      </c>
      <c r="G25" t="s">
        <v>10</v>
      </c>
    </row>
    <row r="26" spans="1:7" x14ac:dyDescent="0.3">
      <c r="A26" s="16">
        <v>45002</v>
      </c>
      <c r="B26">
        <v>30000</v>
      </c>
      <c r="C26" t="s">
        <v>33</v>
      </c>
      <c r="D26">
        <v>7612.74</v>
      </c>
      <c r="E26" t="s">
        <v>15</v>
      </c>
      <c r="F26" t="s">
        <v>18</v>
      </c>
      <c r="G26" t="s">
        <v>12</v>
      </c>
    </row>
    <row r="27" spans="1:7" x14ac:dyDescent="0.3">
      <c r="A27" s="16">
        <v>45247</v>
      </c>
      <c r="B27">
        <v>60000</v>
      </c>
      <c r="C27" t="s">
        <v>33</v>
      </c>
      <c r="D27">
        <v>5894.96</v>
      </c>
      <c r="E27" t="s">
        <v>15</v>
      </c>
      <c r="F27" t="s">
        <v>18</v>
      </c>
      <c r="G27" t="s">
        <v>31</v>
      </c>
    </row>
    <row r="28" spans="1:7" x14ac:dyDescent="0.3">
      <c r="A28" s="16">
        <v>45221</v>
      </c>
      <c r="B28">
        <v>40000</v>
      </c>
      <c r="C28" t="s">
        <v>33</v>
      </c>
      <c r="D28">
        <v>5503.34</v>
      </c>
      <c r="E28" t="s">
        <v>15</v>
      </c>
      <c r="F28" t="s">
        <v>18</v>
      </c>
      <c r="G28" t="s">
        <v>28</v>
      </c>
    </row>
    <row r="29" spans="1:7" x14ac:dyDescent="0.3">
      <c r="A29" s="16">
        <v>45207</v>
      </c>
      <c r="B29">
        <v>70000</v>
      </c>
      <c r="C29" t="s">
        <v>33</v>
      </c>
      <c r="D29">
        <v>2865.33</v>
      </c>
      <c r="E29" t="s">
        <v>15</v>
      </c>
      <c r="F29" t="s">
        <v>18</v>
      </c>
      <c r="G29" t="s">
        <v>28</v>
      </c>
    </row>
    <row r="30" spans="1:7" x14ac:dyDescent="0.3">
      <c r="A30" s="16">
        <v>45031</v>
      </c>
      <c r="B30">
        <v>10000</v>
      </c>
      <c r="C30" t="s">
        <v>33</v>
      </c>
      <c r="D30">
        <v>7533.71</v>
      </c>
      <c r="E30" t="s">
        <v>15</v>
      </c>
      <c r="F30" t="s">
        <v>18</v>
      </c>
      <c r="G30" t="s">
        <v>30</v>
      </c>
    </row>
    <row r="31" spans="1:7" x14ac:dyDescent="0.3">
      <c r="A31" s="16">
        <v>45140</v>
      </c>
      <c r="B31">
        <v>40000</v>
      </c>
      <c r="C31" t="s">
        <v>33</v>
      </c>
      <c r="D31">
        <v>4930.8999999999996</v>
      </c>
      <c r="E31" t="s">
        <v>15</v>
      </c>
      <c r="F31" t="s">
        <v>18</v>
      </c>
      <c r="G31" t="s">
        <v>21</v>
      </c>
    </row>
    <row r="32" spans="1:7" x14ac:dyDescent="0.3">
      <c r="A32" s="16">
        <v>45040</v>
      </c>
      <c r="B32">
        <v>60000</v>
      </c>
      <c r="C32" t="s">
        <v>33</v>
      </c>
      <c r="D32">
        <v>3181.31</v>
      </c>
      <c r="E32" t="s">
        <v>15</v>
      </c>
      <c r="F32" t="s">
        <v>18</v>
      </c>
      <c r="G32" t="s">
        <v>30</v>
      </c>
    </row>
    <row r="33" spans="1:7" x14ac:dyDescent="0.3">
      <c r="A33" s="16">
        <v>45229</v>
      </c>
      <c r="B33">
        <v>30000</v>
      </c>
      <c r="C33" t="s">
        <v>33</v>
      </c>
      <c r="D33">
        <v>9743.73</v>
      </c>
      <c r="E33" t="s">
        <v>15</v>
      </c>
      <c r="F33" t="s">
        <v>18</v>
      </c>
      <c r="G33" t="s">
        <v>28</v>
      </c>
    </row>
    <row r="34" spans="1:7" x14ac:dyDescent="0.3">
      <c r="A34" s="16">
        <v>45167</v>
      </c>
      <c r="B34">
        <v>80000</v>
      </c>
      <c r="C34" t="s">
        <v>33</v>
      </c>
      <c r="D34">
        <v>3401.55</v>
      </c>
      <c r="E34" t="s">
        <v>15</v>
      </c>
      <c r="F34" t="s">
        <v>18</v>
      </c>
      <c r="G34" t="s">
        <v>21</v>
      </c>
    </row>
    <row r="35" spans="1:7" x14ac:dyDescent="0.3">
      <c r="A35" s="16">
        <v>45061</v>
      </c>
      <c r="B35">
        <v>60000</v>
      </c>
      <c r="C35" t="s">
        <v>33</v>
      </c>
      <c r="D35">
        <v>2321.39</v>
      </c>
      <c r="E35" t="s">
        <v>15</v>
      </c>
      <c r="F35" t="s">
        <v>18</v>
      </c>
      <c r="G35" t="s">
        <v>17</v>
      </c>
    </row>
    <row r="36" spans="1:7" x14ac:dyDescent="0.3">
      <c r="A36" s="16">
        <v>45135</v>
      </c>
      <c r="B36">
        <v>50000</v>
      </c>
      <c r="C36" t="s">
        <v>33</v>
      </c>
      <c r="D36">
        <v>680.32</v>
      </c>
      <c r="E36" t="s">
        <v>15</v>
      </c>
      <c r="F36" t="s">
        <v>18</v>
      </c>
      <c r="G36" t="s">
        <v>29</v>
      </c>
    </row>
    <row r="37" spans="1:7" x14ac:dyDescent="0.3">
      <c r="A37" s="16">
        <v>45204</v>
      </c>
      <c r="B37">
        <v>40000</v>
      </c>
      <c r="C37" t="s">
        <v>33</v>
      </c>
      <c r="D37">
        <v>2282.11</v>
      </c>
      <c r="E37" t="s">
        <v>15</v>
      </c>
      <c r="F37" t="s">
        <v>18</v>
      </c>
      <c r="G37" t="s">
        <v>28</v>
      </c>
    </row>
    <row r="38" spans="1:7" x14ac:dyDescent="0.3">
      <c r="A38" s="16">
        <v>45114</v>
      </c>
      <c r="B38">
        <v>60000</v>
      </c>
      <c r="C38" t="s">
        <v>33</v>
      </c>
      <c r="D38">
        <v>1996.76</v>
      </c>
      <c r="E38" t="s">
        <v>15</v>
      </c>
      <c r="F38" t="s">
        <v>18</v>
      </c>
      <c r="G38" t="s">
        <v>29</v>
      </c>
    </row>
    <row r="39" spans="1:7" x14ac:dyDescent="0.3">
      <c r="A39" s="16">
        <v>45175</v>
      </c>
      <c r="B39">
        <v>60000</v>
      </c>
      <c r="C39" t="s">
        <v>33</v>
      </c>
      <c r="D39">
        <v>9860.1299999999992</v>
      </c>
      <c r="E39" t="s">
        <v>15</v>
      </c>
      <c r="F39" t="s">
        <v>18</v>
      </c>
      <c r="G39" t="s">
        <v>27</v>
      </c>
    </row>
    <row r="40" spans="1:7" x14ac:dyDescent="0.3">
      <c r="A40" s="16">
        <v>44967</v>
      </c>
      <c r="B40">
        <v>20000</v>
      </c>
      <c r="C40" t="s">
        <v>33</v>
      </c>
      <c r="D40">
        <v>1802.99</v>
      </c>
      <c r="E40" t="s">
        <v>15</v>
      </c>
      <c r="F40" t="s">
        <v>18</v>
      </c>
      <c r="G40" t="s">
        <v>24</v>
      </c>
    </row>
    <row r="41" spans="1:7" x14ac:dyDescent="0.3">
      <c r="A41" s="16">
        <v>45113</v>
      </c>
      <c r="B41">
        <v>40000</v>
      </c>
      <c r="C41" t="s">
        <v>33</v>
      </c>
      <c r="D41">
        <v>484.75</v>
      </c>
      <c r="E41" t="s">
        <v>15</v>
      </c>
      <c r="F41" t="s">
        <v>18</v>
      </c>
      <c r="G41" t="s">
        <v>29</v>
      </c>
    </row>
    <row r="42" spans="1:7" x14ac:dyDescent="0.3">
      <c r="A42" s="16">
        <v>45244</v>
      </c>
      <c r="B42">
        <v>110000</v>
      </c>
      <c r="C42" t="s">
        <v>33</v>
      </c>
      <c r="D42">
        <v>9439.36</v>
      </c>
      <c r="E42" t="s">
        <v>15</v>
      </c>
      <c r="F42" t="s">
        <v>18</v>
      </c>
      <c r="G42" t="s">
        <v>31</v>
      </c>
    </row>
    <row r="43" spans="1:7" x14ac:dyDescent="0.3">
      <c r="A43" s="16">
        <v>45248</v>
      </c>
      <c r="B43">
        <v>40000</v>
      </c>
      <c r="C43" t="s">
        <v>33</v>
      </c>
      <c r="D43">
        <v>8165.36</v>
      </c>
      <c r="E43" t="s">
        <v>15</v>
      </c>
      <c r="F43" t="s">
        <v>18</v>
      </c>
      <c r="G43" t="s">
        <v>31</v>
      </c>
    </row>
    <row r="44" spans="1:7" x14ac:dyDescent="0.3">
      <c r="A44" s="16">
        <v>44967</v>
      </c>
      <c r="B44">
        <v>40000</v>
      </c>
      <c r="C44" t="s">
        <v>33</v>
      </c>
      <c r="D44">
        <v>4686.5600000000004</v>
      </c>
      <c r="E44" t="s">
        <v>15</v>
      </c>
      <c r="F44" t="s">
        <v>18</v>
      </c>
      <c r="G44" t="s">
        <v>24</v>
      </c>
    </row>
    <row r="45" spans="1:7" x14ac:dyDescent="0.3">
      <c r="A45" s="16">
        <v>45166</v>
      </c>
      <c r="B45">
        <v>130000</v>
      </c>
      <c r="C45" t="s">
        <v>33</v>
      </c>
      <c r="D45">
        <v>3959.28</v>
      </c>
      <c r="E45" t="s">
        <v>15</v>
      </c>
      <c r="F45" t="s">
        <v>18</v>
      </c>
      <c r="G45" t="s">
        <v>21</v>
      </c>
    </row>
    <row r="46" spans="1:7" x14ac:dyDescent="0.3">
      <c r="A46" s="16">
        <v>45070</v>
      </c>
      <c r="B46">
        <v>30000</v>
      </c>
      <c r="C46" t="s">
        <v>33</v>
      </c>
      <c r="D46">
        <v>4675.08</v>
      </c>
      <c r="E46" t="s">
        <v>15</v>
      </c>
      <c r="F46" t="s">
        <v>18</v>
      </c>
      <c r="G46" t="s">
        <v>17</v>
      </c>
    </row>
    <row r="47" spans="1:7" x14ac:dyDescent="0.3">
      <c r="A47" s="16">
        <v>45237</v>
      </c>
      <c r="B47">
        <v>60000</v>
      </c>
      <c r="C47" t="s">
        <v>33</v>
      </c>
      <c r="D47">
        <v>9671.52</v>
      </c>
      <c r="E47" t="s">
        <v>15</v>
      </c>
      <c r="F47" t="s">
        <v>18</v>
      </c>
      <c r="G47" t="s">
        <v>31</v>
      </c>
    </row>
    <row r="48" spans="1:7" x14ac:dyDescent="0.3">
      <c r="A48" s="16">
        <v>45136</v>
      </c>
      <c r="B48">
        <v>40000</v>
      </c>
      <c r="C48" t="s">
        <v>33</v>
      </c>
      <c r="D48">
        <v>2846.91</v>
      </c>
      <c r="E48" t="s">
        <v>15</v>
      </c>
      <c r="F48" t="s">
        <v>18</v>
      </c>
      <c r="G48" t="s">
        <v>29</v>
      </c>
    </row>
    <row r="49" spans="1:7" x14ac:dyDescent="0.3">
      <c r="A49" s="16">
        <v>45289</v>
      </c>
      <c r="B49">
        <v>70000</v>
      </c>
      <c r="C49" t="s">
        <v>33</v>
      </c>
      <c r="D49">
        <v>898.51</v>
      </c>
      <c r="E49" t="s">
        <v>15</v>
      </c>
      <c r="F49" t="s">
        <v>18</v>
      </c>
      <c r="G49" t="s">
        <v>10</v>
      </c>
    </row>
    <row r="50" spans="1:7" x14ac:dyDescent="0.3">
      <c r="A50" s="16">
        <v>45105</v>
      </c>
      <c r="B50">
        <v>120000</v>
      </c>
      <c r="C50" t="s">
        <v>33</v>
      </c>
      <c r="D50">
        <v>1968.67</v>
      </c>
      <c r="E50" t="s">
        <v>15</v>
      </c>
      <c r="F50" t="s">
        <v>18</v>
      </c>
      <c r="G50" t="s">
        <v>23</v>
      </c>
    </row>
    <row r="51" spans="1:7" x14ac:dyDescent="0.3">
      <c r="A51" s="16">
        <v>45211</v>
      </c>
      <c r="B51">
        <v>40000</v>
      </c>
      <c r="C51" t="s">
        <v>14</v>
      </c>
      <c r="D51">
        <v>582.6</v>
      </c>
      <c r="E51" t="s">
        <v>15</v>
      </c>
      <c r="F51" t="s">
        <v>18</v>
      </c>
      <c r="G51" t="s">
        <v>28</v>
      </c>
    </row>
    <row r="52" spans="1:7" x14ac:dyDescent="0.3">
      <c r="A52" s="16">
        <v>45288</v>
      </c>
      <c r="B52">
        <v>60000</v>
      </c>
      <c r="C52" t="s">
        <v>33</v>
      </c>
      <c r="D52">
        <v>8901.8700000000008</v>
      </c>
      <c r="E52" t="s">
        <v>15</v>
      </c>
      <c r="F52" t="s">
        <v>18</v>
      </c>
      <c r="G52" t="s">
        <v>10</v>
      </c>
    </row>
    <row r="53" spans="1:7" x14ac:dyDescent="0.3">
      <c r="A53" s="16">
        <v>45219</v>
      </c>
      <c r="B53">
        <v>60000</v>
      </c>
      <c r="C53" t="s">
        <v>33</v>
      </c>
      <c r="D53">
        <v>7072.02</v>
      </c>
      <c r="E53" t="s">
        <v>15</v>
      </c>
      <c r="F53" t="s">
        <v>18</v>
      </c>
      <c r="G53" t="s">
        <v>28</v>
      </c>
    </row>
    <row r="54" spans="1:7" x14ac:dyDescent="0.3">
      <c r="A54" s="16">
        <v>45195</v>
      </c>
      <c r="B54">
        <v>60000</v>
      </c>
      <c r="C54" t="s">
        <v>33</v>
      </c>
      <c r="D54">
        <v>6793.02</v>
      </c>
      <c r="E54" t="s">
        <v>15</v>
      </c>
      <c r="F54" t="s">
        <v>18</v>
      </c>
      <c r="G54" t="s">
        <v>27</v>
      </c>
    </row>
    <row r="55" spans="1:7" x14ac:dyDescent="0.3">
      <c r="A55" s="16">
        <v>45159</v>
      </c>
      <c r="B55">
        <v>100000</v>
      </c>
      <c r="C55" t="s">
        <v>33</v>
      </c>
      <c r="D55">
        <v>4215.58</v>
      </c>
      <c r="E55" t="s">
        <v>15</v>
      </c>
      <c r="F55" t="s">
        <v>18</v>
      </c>
      <c r="G55" t="s">
        <v>21</v>
      </c>
    </row>
    <row r="56" spans="1:7" x14ac:dyDescent="0.3">
      <c r="A56" s="16">
        <v>45032</v>
      </c>
      <c r="B56">
        <v>100000</v>
      </c>
      <c r="C56" t="s">
        <v>33</v>
      </c>
      <c r="D56">
        <v>8739.49</v>
      </c>
      <c r="E56" t="s">
        <v>15</v>
      </c>
      <c r="F56" t="s">
        <v>18</v>
      </c>
      <c r="G56" t="s">
        <v>30</v>
      </c>
    </row>
    <row r="57" spans="1:7" x14ac:dyDescent="0.3">
      <c r="A57" s="16">
        <v>45218</v>
      </c>
      <c r="B57">
        <v>90000</v>
      </c>
      <c r="C57" t="s">
        <v>33</v>
      </c>
      <c r="D57">
        <v>6246.19</v>
      </c>
      <c r="E57" t="s">
        <v>15</v>
      </c>
      <c r="F57" t="s">
        <v>18</v>
      </c>
      <c r="G57" t="s">
        <v>28</v>
      </c>
    </row>
    <row r="58" spans="1:7" x14ac:dyDescent="0.3">
      <c r="A58" s="16">
        <v>44965</v>
      </c>
      <c r="B58">
        <v>40000</v>
      </c>
      <c r="C58" t="s">
        <v>33</v>
      </c>
      <c r="D58">
        <v>5487.38</v>
      </c>
      <c r="E58" t="s">
        <v>15</v>
      </c>
      <c r="F58" t="s">
        <v>18</v>
      </c>
      <c r="G58" t="s">
        <v>24</v>
      </c>
    </row>
    <row r="59" spans="1:7" x14ac:dyDescent="0.3">
      <c r="A59" s="16">
        <v>45076</v>
      </c>
      <c r="B59">
        <v>60000</v>
      </c>
      <c r="C59" t="s">
        <v>33</v>
      </c>
      <c r="D59">
        <v>4565.74</v>
      </c>
      <c r="E59" t="s">
        <v>15</v>
      </c>
      <c r="F59" t="s">
        <v>18</v>
      </c>
      <c r="G59" t="s">
        <v>17</v>
      </c>
    </row>
    <row r="60" spans="1:7" x14ac:dyDescent="0.3">
      <c r="A60" s="16">
        <v>45115</v>
      </c>
      <c r="B60">
        <v>40000</v>
      </c>
      <c r="C60" t="s">
        <v>33</v>
      </c>
      <c r="D60">
        <v>6996.68</v>
      </c>
      <c r="E60" t="s">
        <v>15</v>
      </c>
      <c r="F60" t="s">
        <v>18</v>
      </c>
      <c r="G60" t="s">
        <v>29</v>
      </c>
    </row>
    <row r="61" spans="1:7" x14ac:dyDescent="0.3">
      <c r="A61" s="16">
        <v>45010</v>
      </c>
      <c r="B61">
        <v>40000</v>
      </c>
      <c r="C61" t="s">
        <v>33</v>
      </c>
      <c r="D61">
        <v>2082.06</v>
      </c>
      <c r="E61" t="s">
        <v>15</v>
      </c>
      <c r="F61" t="s">
        <v>18</v>
      </c>
      <c r="G61" t="s">
        <v>12</v>
      </c>
    </row>
    <row r="62" spans="1:7" x14ac:dyDescent="0.3">
      <c r="A62" s="16">
        <v>45229</v>
      </c>
      <c r="B62">
        <v>80000</v>
      </c>
      <c r="C62" t="s">
        <v>33</v>
      </c>
      <c r="D62">
        <v>8409.02</v>
      </c>
      <c r="E62" t="s">
        <v>15</v>
      </c>
      <c r="F62" t="s">
        <v>18</v>
      </c>
      <c r="G62" t="s">
        <v>28</v>
      </c>
    </row>
    <row r="63" spans="1:7" x14ac:dyDescent="0.3">
      <c r="A63" s="16">
        <v>45099</v>
      </c>
      <c r="B63">
        <v>70000</v>
      </c>
      <c r="C63" t="s">
        <v>33</v>
      </c>
      <c r="D63">
        <v>6943.9</v>
      </c>
      <c r="E63" t="s">
        <v>15</v>
      </c>
      <c r="F63" t="s">
        <v>18</v>
      </c>
      <c r="G63" t="s">
        <v>23</v>
      </c>
    </row>
    <row r="64" spans="1:7" x14ac:dyDescent="0.3">
      <c r="A64" s="16">
        <v>45257</v>
      </c>
      <c r="B64">
        <v>40000</v>
      </c>
      <c r="C64" t="s">
        <v>33</v>
      </c>
      <c r="D64">
        <v>4510.54</v>
      </c>
      <c r="E64" t="s">
        <v>15</v>
      </c>
      <c r="F64" t="s">
        <v>18</v>
      </c>
      <c r="G64" t="s">
        <v>31</v>
      </c>
    </row>
    <row r="65" spans="1:7" x14ac:dyDescent="0.3">
      <c r="A65" s="16">
        <v>45013</v>
      </c>
      <c r="B65">
        <v>70000</v>
      </c>
      <c r="C65" t="s">
        <v>33</v>
      </c>
      <c r="D65">
        <v>4367.95</v>
      </c>
      <c r="E65" t="s">
        <v>15</v>
      </c>
      <c r="F65" t="s">
        <v>18</v>
      </c>
      <c r="G65" t="s">
        <v>12</v>
      </c>
    </row>
    <row r="66" spans="1:7" x14ac:dyDescent="0.3">
      <c r="A66" s="16">
        <v>45265</v>
      </c>
      <c r="B66">
        <v>30000</v>
      </c>
      <c r="C66" t="s">
        <v>7</v>
      </c>
      <c r="D66">
        <v>8292.7199999999993</v>
      </c>
      <c r="E66" t="s">
        <v>15</v>
      </c>
      <c r="F66" t="s">
        <v>18</v>
      </c>
      <c r="G66" t="s">
        <v>10</v>
      </c>
    </row>
    <row r="67" spans="1:7" x14ac:dyDescent="0.3">
      <c r="A67" s="16">
        <v>45230</v>
      </c>
      <c r="B67">
        <v>40000</v>
      </c>
      <c r="C67" t="s">
        <v>14</v>
      </c>
      <c r="D67">
        <v>8491.1</v>
      </c>
      <c r="E67" t="s">
        <v>15</v>
      </c>
      <c r="F67" t="s">
        <v>18</v>
      </c>
      <c r="G67" t="s">
        <v>28</v>
      </c>
    </row>
    <row r="68" spans="1:7" x14ac:dyDescent="0.3">
      <c r="A68" s="16">
        <v>45009</v>
      </c>
      <c r="B68">
        <v>30000</v>
      </c>
      <c r="C68" t="s">
        <v>7</v>
      </c>
      <c r="D68">
        <v>8820.4599999999991</v>
      </c>
      <c r="E68" t="s">
        <v>15</v>
      </c>
      <c r="F68" t="s">
        <v>18</v>
      </c>
      <c r="G68" t="s">
        <v>12</v>
      </c>
    </row>
    <row r="69" spans="1:7" x14ac:dyDescent="0.3">
      <c r="A69" s="16">
        <v>45289</v>
      </c>
      <c r="B69">
        <v>120000</v>
      </c>
      <c r="C69" t="s">
        <v>14</v>
      </c>
      <c r="D69">
        <v>6144.58</v>
      </c>
      <c r="E69" t="s">
        <v>15</v>
      </c>
      <c r="F69" t="s">
        <v>18</v>
      </c>
      <c r="G69" t="s">
        <v>10</v>
      </c>
    </row>
    <row r="70" spans="1:7" x14ac:dyDescent="0.3">
      <c r="A70" s="16">
        <v>45163</v>
      </c>
      <c r="B70">
        <v>40000</v>
      </c>
      <c r="C70" t="s">
        <v>7</v>
      </c>
      <c r="D70">
        <v>3839.35</v>
      </c>
      <c r="E70" t="s">
        <v>15</v>
      </c>
      <c r="F70" t="s">
        <v>18</v>
      </c>
      <c r="G70" t="s">
        <v>21</v>
      </c>
    </row>
    <row r="71" spans="1:7" x14ac:dyDescent="0.3">
      <c r="A71" s="16">
        <v>44948</v>
      </c>
      <c r="B71">
        <v>10000</v>
      </c>
      <c r="C71" t="s">
        <v>7</v>
      </c>
      <c r="D71">
        <v>8961.09</v>
      </c>
      <c r="E71" t="s">
        <v>15</v>
      </c>
      <c r="F71" t="s">
        <v>18</v>
      </c>
      <c r="G71" t="s">
        <v>19</v>
      </c>
    </row>
    <row r="72" spans="1:7" x14ac:dyDescent="0.3">
      <c r="A72" s="16">
        <v>45092</v>
      </c>
      <c r="B72">
        <v>20000</v>
      </c>
      <c r="C72" t="s">
        <v>7</v>
      </c>
      <c r="D72">
        <v>3410.22</v>
      </c>
      <c r="E72" t="s">
        <v>15</v>
      </c>
      <c r="F72" t="s">
        <v>18</v>
      </c>
      <c r="G72" t="s">
        <v>23</v>
      </c>
    </row>
    <row r="73" spans="1:7" x14ac:dyDescent="0.3">
      <c r="A73" s="16">
        <v>45043</v>
      </c>
      <c r="B73">
        <v>110000</v>
      </c>
      <c r="C73" t="s">
        <v>14</v>
      </c>
      <c r="D73">
        <v>7928.72</v>
      </c>
      <c r="E73" t="s">
        <v>15</v>
      </c>
      <c r="F73" t="s">
        <v>18</v>
      </c>
      <c r="G73" t="s">
        <v>30</v>
      </c>
    </row>
    <row r="74" spans="1:7" x14ac:dyDescent="0.3">
      <c r="A74" s="16">
        <v>45059</v>
      </c>
      <c r="B74">
        <v>30000</v>
      </c>
      <c r="C74" t="s">
        <v>7</v>
      </c>
      <c r="D74">
        <v>6778.95</v>
      </c>
      <c r="E74" t="s">
        <v>15</v>
      </c>
      <c r="F74" t="s">
        <v>18</v>
      </c>
      <c r="G74" t="s">
        <v>17</v>
      </c>
    </row>
    <row r="75" spans="1:7" x14ac:dyDescent="0.3">
      <c r="A75" s="16">
        <v>44953</v>
      </c>
      <c r="B75">
        <v>10000</v>
      </c>
      <c r="C75" t="s">
        <v>7</v>
      </c>
      <c r="D75">
        <v>1783.77</v>
      </c>
      <c r="E75" t="s">
        <v>15</v>
      </c>
      <c r="F75" t="s">
        <v>18</v>
      </c>
      <c r="G75" t="s">
        <v>19</v>
      </c>
    </row>
    <row r="76" spans="1:7" x14ac:dyDescent="0.3">
      <c r="A76" s="16">
        <v>45225</v>
      </c>
      <c r="B76">
        <v>70000</v>
      </c>
      <c r="C76" t="s">
        <v>14</v>
      </c>
      <c r="D76">
        <v>6481.97</v>
      </c>
      <c r="E76" t="s">
        <v>15</v>
      </c>
      <c r="F76" t="s">
        <v>18</v>
      </c>
      <c r="G76" t="s">
        <v>28</v>
      </c>
    </row>
    <row r="77" spans="1:7" x14ac:dyDescent="0.3">
      <c r="A77" s="16">
        <v>45266</v>
      </c>
      <c r="B77">
        <v>120000</v>
      </c>
      <c r="C77" t="s">
        <v>14</v>
      </c>
      <c r="D77">
        <v>5246.72</v>
      </c>
      <c r="E77" t="s">
        <v>15</v>
      </c>
      <c r="F77" t="s">
        <v>18</v>
      </c>
      <c r="G77" t="s">
        <v>10</v>
      </c>
    </row>
    <row r="78" spans="1:7" x14ac:dyDescent="0.3">
      <c r="A78" s="16">
        <v>45047</v>
      </c>
      <c r="B78">
        <v>30000</v>
      </c>
      <c r="C78" t="s">
        <v>7</v>
      </c>
      <c r="D78">
        <v>1225.1600000000001</v>
      </c>
      <c r="E78" t="s">
        <v>15</v>
      </c>
      <c r="F78" t="s">
        <v>18</v>
      </c>
      <c r="G78" t="s">
        <v>17</v>
      </c>
    </row>
    <row r="79" spans="1:7" x14ac:dyDescent="0.3">
      <c r="A79" s="16">
        <v>44965</v>
      </c>
      <c r="B79">
        <v>40000</v>
      </c>
      <c r="C79" t="s">
        <v>7</v>
      </c>
      <c r="D79">
        <v>9720.52</v>
      </c>
      <c r="E79" t="s">
        <v>15</v>
      </c>
      <c r="F79" t="s">
        <v>18</v>
      </c>
      <c r="G79" t="s">
        <v>24</v>
      </c>
    </row>
    <row r="80" spans="1:7" x14ac:dyDescent="0.3">
      <c r="A80" s="16">
        <v>45133</v>
      </c>
      <c r="B80">
        <v>10000</v>
      </c>
      <c r="C80" t="s">
        <v>7</v>
      </c>
      <c r="D80">
        <v>8524.9500000000007</v>
      </c>
      <c r="E80" t="s">
        <v>15</v>
      </c>
      <c r="F80" t="s">
        <v>18</v>
      </c>
      <c r="G80" t="s">
        <v>29</v>
      </c>
    </row>
    <row r="81" spans="1:7" x14ac:dyDescent="0.3">
      <c r="A81" s="16">
        <v>45056</v>
      </c>
      <c r="B81">
        <v>80000</v>
      </c>
      <c r="C81" t="s">
        <v>14</v>
      </c>
      <c r="D81">
        <v>8796.93</v>
      </c>
      <c r="E81" t="s">
        <v>15</v>
      </c>
      <c r="F81" t="s">
        <v>18</v>
      </c>
      <c r="G81" t="s">
        <v>17</v>
      </c>
    </row>
    <row r="82" spans="1:7" x14ac:dyDescent="0.3">
      <c r="A82" s="16">
        <v>44998</v>
      </c>
      <c r="B82">
        <v>40000</v>
      </c>
      <c r="C82" t="s">
        <v>7</v>
      </c>
      <c r="D82">
        <v>3409.63</v>
      </c>
      <c r="E82" t="s">
        <v>15</v>
      </c>
      <c r="F82" t="s">
        <v>18</v>
      </c>
      <c r="G82" t="s">
        <v>12</v>
      </c>
    </row>
    <row r="83" spans="1:7" x14ac:dyDescent="0.3">
      <c r="A83" s="16">
        <v>45277</v>
      </c>
      <c r="B83">
        <v>50000</v>
      </c>
      <c r="C83" t="s">
        <v>14</v>
      </c>
      <c r="D83">
        <v>2373.1799999999998</v>
      </c>
      <c r="E83" t="s">
        <v>15</v>
      </c>
      <c r="F83" t="s">
        <v>18</v>
      </c>
      <c r="G83" t="s">
        <v>10</v>
      </c>
    </row>
    <row r="84" spans="1:7" x14ac:dyDescent="0.3">
      <c r="A84" s="16">
        <v>44994</v>
      </c>
      <c r="B84">
        <v>30000</v>
      </c>
      <c r="C84" t="s">
        <v>7</v>
      </c>
      <c r="D84">
        <v>4506.6499999999996</v>
      </c>
      <c r="E84" t="s">
        <v>15</v>
      </c>
      <c r="F84" t="s">
        <v>18</v>
      </c>
      <c r="G84" t="s">
        <v>12</v>
      </c>
    </row>
    <row r="85" spans="1:7" x14ac:dyDescent="0.3">
      <c r="A85" s="16">
        <v>44987</v>
      </c>
      <c r="B85">
        <v>60000</v>
      </c>
      <c r="C85" t="s">
        <v>14</v>
      </c>
      <c r="D85">
        <v>7566.32</v>
      </c>
      <c r="E85" t="s">
        <v>15</v>
      </c>
      <c r="F85" t="s">
        <v>18</v>
      </c>
      <c r="G85" t="s">
        <v>12</v>
      </c>
    </row>
    <row r="86" spans="1:7" x14ac:dyDescent="0.3">
      <c r="A86" s="16">
        <v>45138</v>
      </c>
      <c r="B86">
        <v>10000</v>
      </c>
      <c r="C86" t="s">
        <v>7</v>
      </c>
      <c r="D86">
        <v>5576.33</v>
      </c>
      <c r="E86" t="s">
        <v>15</v>
      </c>
      <c r="F86" t="s">
        <v>18</v>
      </c>
      <c r="G86" t="s">
        <v>29</v>
      </c>
    </row>
    <row r="87" spans="1:7" x14ac:dyDescent="0.3">
      <c r="A87" s="16">
        <v>45290</v>
      </c>
      <c r="B87">
        <v>10000</v>
      </c>
      <c r="C87" t="s">
        <v>7</v>
      </c>
      <c r="D87">
        <v>1555.41</v>
      </c>
      <c r="E87" t="s">
        <v>15</v>
      </c>
      <c r="F87" t="s">
        <v>18</v>
      </c>
      <c r="G87" t="s">
        <v>10</v>
      </c>
    </row>
    <row r="88" spans="1:7" x14ac:dyDescent="0.3">
      <c r="A88" s="16">
        <v>45016</v>
      </c>
      <c r="B88">
        <v>10000</v>
      </c>
      <c r="C88" t="s">
        <v>7</v>
      </c>
      <c r="D88">
        <v>7200.19</v>
      </c>
      <c r="E88" t="s">
        <v>15</v>
      </c>
      <c r="F88" t="s">
        <v>18</v>
      </c>
      <c r="G88" t="s">
        <v>12</v>
      </c>
    </row>
    <row r="89" spans="1:7" x14ac:dyDescent="0.3">
      <c r="A89" s="16">
        <v>45276</v>
      </c>
      <c r="B89">
        <v>10000</v>
      </c>
      <c r="C89" t="s">
        <v>14</v>
      </c>
      <c r="D89">
        <v>1230.5</v>
      </c>
      <c r="E89" t="s">
        <v>15</v>
      </c>
      <c r="F89" t="s">
        <v>18</v>
      </c>
      <c r="G89" t="s">
        <v>10</v>
      </c>
    </row>
    <row r="90" spans="1:7" x14ac:dyDescent="0.3">
      <c r="A90" s="16">
        <v>45011</v>
      </c>
      <c r="B90">
        <v>50000</v>
      </c>
      <c r="C90" t="s">
        <v>7</v>
      </c>
      <c r="D90">
        <v>5187.74</v>
      </c>
      <c r="E90" t="s">
        <v>15</v>
      </c>
      <c r="F90" t="s">
        <v>18</v>
      </c>
      <c r="G90" t="s">
        <v>12</v>
      </c>
    </row>
    <row r="91" spans="1:7" x14ac:dyDescent="0.3">
      <c r="A91" s="16">
        <v>45286</v>
      </c>
      <c r="B91">
        <v>150000</v>
      </c>
      <c r="C91" t="s">
        <v>14</v>
      </c>
      <c r="D91">
        <v>3034.03</v>
      </c>
      <c r="E91" t="s">
        <v>15</v>
      </c>
      <c r="F91" t="s">
        <v>18</v>
      </c>
      <c r="G91" t="s">
        <v>10</v>
      </c>
    </row>
    <row r="92" spans="1:7" x14ac:dyDescent="0.3">
      <c r="A92" s="16">
        <v>45037</v>
      </c>
      <c r="B92">
        <v>30000</v>
      </c>
      <c r="C92" t="s">
        <v>7</v>
      </c>
      <c r="D92">
        <v>7862.98</v>
      </c>
      <c r="E92" t="s">
        <v>15</v>
      </c>
      <c r="F92" t="s">
        <v>18</v>
      </c>
      <c r="G92" t="s">
        <v>30</v>
      </c>
    </row>
    <row r="93" spans="1:7" x14ac:dyDescent="0.3">
      <c r="A93" s="16">
        <v>44971</v>
      </c>
      <c r="B93">
        <v>100000</v>
      </c>
      <c r="C93" t="s">
        <v>14</v>
      </c>
      <c r="D93">
        <v>4737.09</v>
      </c>
      <c r="E93" t="s">
        <v>15</v>
      </c>
      <c r="F93" t="s">
        <v>18</v>
      </c>
      <c r="G93" t="s">
        <v>24</v>
      </c>
    </row>
    <row r="94" spans="1:7" x14ac:dyDescent="0.3">
      <c r="A94" s="16">
        <v>45055</v>
      </c>
      <c r="B94">
        <v>10000</v>
      </c>
      <c r="C94" t="s">
        <v>14</v>
      </c>
      <c r="D94">
        <v>2408.1799999999998</v>
      </c>
      <c r="E94" t="s">
        <v>15</v>
      </c>
      <c r="F94" t="s">
        <v>18</v>
      </c>
      <c r="G94" t="s">
        <v>17</v>
      </c>
    </row>
    <row r="95" spans="1:7" x14ac:dyDescent="0.3">
      <c r="A95" s="16">
        <v>45001</v>
      </c>
      <c r="B95">
        <v>10000</v>
      </c>
      <c r="C95" t="s">
        <v>7</v>
      </c>
      <c r="D95">
        <v>5221.79</v>
      </c>
      <c r="E95" t="s">
        <v>15</v>
      </c>
      <c r="F95" t="s">
        <v>18</v>
      </c>
      <c r="G95" t="s">
        <v>12</v>
      </c>
    </row>
    <row r="96" spans="1:7" x14ac:dyDescent="0.3">
      <c r="A96" s="16">
        <v>45219</v>
      </c>
      <c r="B96">
        <v>60000</v>
      </c>
      <c r="C96" t="s">
        <v>14</v>
      </c>
      <c r="D96">
        <v>7184.05</v>
      </c>
      <c r="E96" t="s">
        <v>15</v>
      </c>
      <c r="F96" t="s">
        <v>18</v>
      </c>
      <c r="G96" t="s">
        <v>28</v>
      </c>
    </row>
    <row r="97" spans="1:7" x14ac:dyDescent="0.3">
      <c r="A97" s="16">
        <v>45000</v>
      </c>
      <c r="B97">
        <v>70000</v>
      </c>
      <c r="C97" t="s">
        <v>14</v>
      </c>
      <c r="D97">
        <v>836.06</v>
      </c>
      <c r="E97" t="s">
        <v>15</v>
      </c>
      <c r="F97" t="s">
        <v>18</v>
      </c>
      <c r="G97" t="s">
        <v>12</v>
      </c>
    </row>
    <row r="98" spans="1:7" x14ac:dyDescent="0.3">
      <c r="A98" s="16">
        <v>45236</v>
      </c>
      <c r="B98">
        <v>30000</v>
      </c>
      <c r="C98" t="s">
        <v>14</v>
      </c>
      <c r="D98">
        <v>3090.79</v>
      </c>
      <c r="E98" t="s">
        <v>15</v>
      </c>
      <c r="F98" t="s">
        <v>18</v>
      </c>
      <c r="G98" t="s">
        <v>31</v>
      </c>
    </row>
    <row r="99" spans="1:7" x14ac:dyDescent="0.3">
      <c r="A99" s="16">
        <v>45058</v>
      </c>
      <c r="B99">
        <v>20000</v>
      </c>
      <c r="C99" t="s">
        <v>14</v>
      </c>
      <c r="D99">
        <v>2039.6</v>
      </c>
      <c r="E99" t="s">
        <v>15</v>
      </c>
      <c r="F99" t="s">
        <v>18</v>
      </c>
      <c r="G99" t="s">
        <v>17</v>
      </c>
    </row>
    <row r="100" spans="1:7" x14ac:dyDescent="0.3">
      <c r="A100" s="16">
        <v>44974</v>
      </c>
      <c r="B100">
        <v>20000</v>
      </c>
      <c r="C100" t="s">
        <v>7</v>
      </c>
      <c r="D100">
        <v>3014.84</v>
      </c>
      <c r="E100" t="s">
        <v>15</v>
      </c>
      <c r="F100" t="s">
        <v>18</v>
      </c>
      <c r="G100" t="s">
        <v>24</v>
      </c>
    </row>
    <row r="101" spans="1:7" x14ac:dyDescent="0.3">
      <c r="A101" s="16">
        <v>45061</v>
      </c>
      <c r="B101">
        <v>40000</v>
      </c>
      <c r="C101" t="s">
        <v>7</v>
      </c>
      <c r="D101">
        <v>1242.76</v>
      </c>
      <c r="E101" t="s">
        <v>15</v>
      </c>
      <c r="F101" t="s">
        <v>18</v>
      </c>
      <c r="G101" t="s">
        <v>17</v>
      </c>
    </row>
    <row r="102" spans="1:7" x14ac:dyDescent="0.3">
      <c r="A102" s="16">
        <v>45025</v>
      </c>
      <c r="B102">
        <v>90000</v>
      </c>
      <c r="C102" t="s">
        <v>7</v>
      </c>
      <c r="D102">
        <v>2693.99</v>
      </c>
      <c r="E102" t="s">
        <v>15</v>
      </c>
      <c r="F102" t="s">
        <v>18</v>
      </c>
      <c r="G102" t="s">
        <v>30</v>
      </c>
    </row>
    <row r="103" spans="1:7" x14ac:dyDescent="0.3">
      <c r="A103" s="16">
        <v>45119</v>
      </c>
      <c r="B103">
        <v>60000</v>
      </c>
      <c r="C103" t="s">
        <v>14</v>
      </c>
      <c r="D103">
        <v>1950.94</v>
      </c>
      <c r="E103" t="s">
        <v>15</v>
      </c>
      <c r="F103" t="s">
        <v>18</v>
      </c>
      <c r="G103" t="s">
        <v>29</v>
      </c>
    </row>
    <row r="104" spans="1:7" x14ac:dyDescent="0.3">
      <c r="A104" s="16">
        <v>44936</v>
      </c>
      <c r="B104">
        <v>130000</v>
      </c>
      <c r="C104" t="s">
        <v>7</v>
      </c>
      <c r="D104">
        <v>558.92999999999995</v>
      </c>
      <c r="E104" t="s">
        <v>15</v>
      </c>
      <c r="F104" t="s">
        <v>18</v>
      </c>
      <c r="G104" t="s">
        <v>19</v>
      </c>
    </row>
    <row r="105" spans="1:7" x14ac:dyDescent="0.3">
      <c r="A105" s="16">
        <v>44957</v>
      </c>
      <c r="B105">
        <v>30000</v>
      </c>
      <c r="C105" t="s">
        <v>14</v>
      </c>
      <c r="D105">
        <v>5860.74</v>
      </c>
      <c r="E105" t="s">
        <v>15</v>
      </c>
      <c r="F105" t="s">
        <v>18</v>
      </c>
      <c r="G105" t="s">
        <v>19</v>
      </c>
    </row>
    <row r="106" spans="1:7" x14ac:dyDescent="0.3">
      <c r="A106" s="16">
        <v>45223</v>
      </c>
      <c r="B106">
        <v>10000</v>
      </c>
      <c r="C106" t="s">
        <v>7</v>
      </c>
      <c r="D106">
        <v>6705.85</v>
      </c>
      <c r="E106" t="s">
        <v>15</v>
      </c>
      <c r="F106" t="s">
        <v>18</v>
      </c>
      <c r="G106" t="s">
        <v>28</v>
      </c>
    </row>
    <row r="107" spans="1:7" x14ac:dyDescent="0.3">
      <c r="A107" s="16">
        <v>45235</v>
      </c>
      <c r="B107">
        <v>70000</v>
      </c>
      <c r="C107" t="s">
        <v>14</v>
      </c>
      <c r="D107">
        <v>7502.84</v>
      </c>
      <c r="E107" t="s">
        <v>15</v>
      </c>
      <c r="F107" t="s">
        <v>18</v>
      </c>
      <c r="G107" t="s">
        <v>31</v>
      </c>
    </row>
    <row r="108" spans="1:7" x14ac:dyDescent="0.3">
      <c r="A108" s="16">
        <v>45228</v>
      </c>
      <c r="B108">
        <v>20000</v>
      </c>
      <c r="C108" t="s">
        <v>14</v>
      </c>
      <c r="D108">
        <v>6471.64</v>
      </c>
      <c r="E108" t="s">
        <v>15</v>
      </c>
      <c r="F108" t="s">
        <v>18</v>
      </c>
      <c r="G108" t="s">
        <v>28</v>
      </c>
    </row>
    <row r="109" spans="1:7" x14ac:dyDescent="0.3">
      <c r="A109" s="16">
        <v>45135</v>
      </c>
      <c r="B109">
        <v>30000</v>
      </c>
      <c r="C109" t="s">
        <v>7</v>
      </c>
      <c r="D109">
        <v>2424.63</v>
      </c>
      <c r="E109" t="s">
        <v>15</v>
      </c>
      <c r="F109" t="s">
        <v>18</v>
      </c>
      <c r="G109" t="s">
        <v>29</v>
      </c>
    </row>
    <row r="110" spans="1:7" x14ac:dyDescent="0.3">
      <c r="A110" s="16">
        <v>44967</v>
      </c>
      <c r="B110">
        <v>130000</v>
      </c>
      <c r="C110" t="s">
        <v>14</v>
      </c>
      <c r="D110">
        <v>9393.25</v>
      </c>
      <c r="E110" t="s">
        <v>15</v>
      </c>
      <c r="F110" t="s">
        <v>18</v>
      </c>
      <c r="G110" t="s">
        <v>24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627BE-F9FB-4CCB-913D-A19ECBDB1801}">
  <sheetPr>
    <tabColor theme="8" tint="0.39997558519241921"/>
  </sheetPr>
  <dimension ref="A1:C48"/>
  <sheetViews>
    <sheetView workbookViewId="0">
      <selection activeCell="B15" sqref="B15"/>
    </sheetView>
  </sheetViews>
  <sheetFormatPr defaultRowHeight="14.4" x14ac:dyDescent="0.3"/>
  <cols>
    <col min="1" max="1" width="20" bestFit="1" customWidth="1"/>
    <col min="2" max="2" width="11.5546875" bestFit="1" customWidth="1"/>
    <col min="3" max="3" width="15.77734375" customWidth="1"/>
  </cols>
  <sheetData>
    <row r="1" spans="1:2" x14ac:dyDescent="0.3">
      <c r="A1" s="21" t="s">
        <v>39</v>
      </c>
      <c r="B1" s="21"/>
    </row>
    <row r="2" spans="1:2" x14ac:dyDescent="0.3">
      <c r="A2" s="8" t="s">
        <v>35</v>
      </c>
      <c r="B2" s="8" t="s">
        <v>34</v>
      </c>
    </row>
    <row r="3" spans="1:2" x14ac:dyDescent="0.3">
      <c r="A3" s="9" t="s">
        <v>8</v>
      </c>
      <c r="B3" s="10">
        <v>2638258.0000000005</v>
      </c>
    </row>
    <row r="4" spans="1:2" x14ac:dyDescent="0.3">
      <c r="A4" s="11" t="s">
        <v>11</v>
      </c>
      <c r="B4" s="12">
        <v>465952.29</v>
      </c>
    </row>
    <row r="5" spans="1:2" x14ac:dyDescent="0.3">
      <c r="A5" s="11" t="s">
        <v>13</v>
      </c>
      <c r="B5" s="12">
        <v>527310.44000000006</v>
      </c>
    </row>
    <row r="6" spans="1:2" x14ac:dyDescent="0.3">
      <c r="A6" s="11" t="s">
        <v>9</v>
      </c>
      <c r="B6" s="12">
        <v>611727.03</v>
      </c>
    </row>
    <row r="7" spans="1:2" x14ac:dyDescent="0.3">
      <c r="A7" s="11" t="s">
        <v>26</v>
      </c>
      <c r="B7" s="12">
        <v>535950.77000000014</v>
      </c>
    </row>
    <row r="8" spans="1:2" x14ac:dyDescent="0.3">
      <c r="A8" s="11" t="s">
        <v>22</v>
      </c>
      <c r="B8" s="12">
        <v>497317.47000000009</v>
      </c>
    </row>
    <row r="9" spans="1:2" x14ac:dyDescent="0.3">
      <c r="A9" s="11" t="s">
        <v>15</v>
      </c>
      <c r="B9" s="12">
        <v>2576509.92</v>
      </c>
    </row>
    <row r="10" spans="1:2" x14ac:dyDescent="0.3">
      <c r="A10" s="11" t="s">
        <v>16</v>
      </c>
      <c r="B10" s="12">
        <v>433808.16000000009</v>
      </c>
    </row>
    <row r="11" spans="1:2" x14ac:dyDescent="0.3">
      <c r="A11" s="11" t="s">
        <v>32</v>
      </c>
      <c r="B11" s="12">
        <v>621178.91999999993</v>
      </c>
    </row>
    <row r="12" spans="1:2" x14ac:dyDescent="0.3">
      <c r="A12" s="11" t="s">
        <v>20</v>
      </c>
      <c r="B12" s="12">
        <v>503520.17</v>
      </c>
    </row>
    <row r="13" spans="1:2" x14ac:dyDescent="0.3">
      <c r="A13" s="11" t="s">
        <v>18</v>
      </c>
      <c r="B13" s="12">
        <v>550525.50000000012</v>
      </c>
    </row>
    <row r="14" spans="1:2" x14ac:dyDescent="0.3">
      <c r="A14" s="11" t="s">
        <v>25</v>
      </c>
      <c r="B14" s="12">
        <v>467477.17000000016</v>
      </c>
    </row>
    <row r="15" spans="1:2" x14ac:dyDescent="0.3">
      <c r="A15" s="11" t="s">
        <v>36</v>
      </c>
      <c r="B15" s="12">
        <v>5214767.9200000009</v>
      </c>
    </row>
    <row r="19" spans="1:2" x14ac:dyDescent="0.3">
      <c r="A19" s="20" t="s">
        <v>38</v>
      </c>
      <c r="B19" s="20"/>
    </row>
    <row r="20" spans="1:2" x14ac:dyDescent="0.3">
      <c r="A20" s="13" t="s">
        <v>35</v>
      </c>
      <c r="B20" s="13" t="s">
        <v>34</v>
      </c>
    </row>
    <row r="21" spans="1:2" x14ac:dyDescent="0.3">
      <c r="A21" s="6" t="s">
        <v>7</v>
      </c>
      <c r="B21" s="7">
        <v>1602403.5499999991</v>
      </c>
    </row>
    <row r="22" spans="1:2" x14ac:dyDescent="0.3">
      <c r="A22" s="6" t="s">
        <v>33</v>
      </c>
      <c r="B22" s="7">
        <v>2603861.66</v>
      </c>
    </row>
    <row r="23" spans="1:2" x14ac:dyDescent="0.3">
      <c r="A23" s="6" t="s">
        <v>14</v>
      </c>
      <c r="B23" s="7">
        <v>1008502.71</v>
      </c>
    </row>
    <row r="24" spans="1:2" x14ac:dyDescent="0.3">
      <c r="A24" s="6" t="s">
        <v>36</v>
      </c>
      <c r="B24" s="7">
        <v>5214767.919999999</v>
      </c>
    </row>
    <row r="34" spans="1:3" ht="21" x14ac:dyDescent="0.4">
      <c r="A34" s="19" t="s">
        <v>37</v>
      </c>
      <c r="B34" s="19"/>
      <c r="C34" s="5"/>
    </row>
    <row r="35" spans="1:3" x14ac:dyDescent="0.3">
      <c r="A35" s="3" t="s">
        <v>35</v>
      </c>
      <c r="B35" t="s">
        <v>34</v>
      </c>
    </row>
    <row r="36" spans="1:3" x14ac:dyDescent="0.3">
      <c r="A36" s="4" t="s">
        <v>19</v>
      </c>
      <c r="B36" s="23">
        <v>443570.5700000003</v>
      </c>
    </row>
    <row r="37" spans="1:3" x14ac:dyDescent="0.3">
      <c r="A37" s="4" t="s">
        <v>24</v>
      </c>
      <c r="B37" s="23">
        <v>400931.36</v>
      </c>
    </row>
    <row r="38" spans="1:3" x14ac:dyDescent="0.3">
      <c r="A38" s="4" t="s">
        <v>12</v>
      </c>
      <c r="B38" s="23">
        <v>451788.78</v>
      </c>
    </row>
    <row r="39" spans="1:3" x14ac:dyDescent="0.3">
      <c r="A39" s="4" t="s">
        <v>30</v>
      </c>
      <c r="B39" s="23">
        <v>390158.82</v>
      </c>
    </row>
    <row r="40" spans="1:3" x14ac:dyDescent="0.3">
      <c r="A40" s="4" t="s">
        <v>17</v>
      </c>
      <c r="B40" s="23">
        <v>451959.45999999979</v>
      </c>
    </row>
    <row r="41" spans="1:3" x14ac:dyDescent="0.3">
      <c r="A41" s="4" t="s">
        <v>23</v>
      </c>
      <c r="B41" s="23">
        <v>433699.03</v>
      </c>
    </row>
    <row r="42" spans="1:3" x14ac:dyDescent="0.3">
      <c r="A42" s="4" t="s">
        <v>29</v>
      </c>
      <c r="B42" s="23">
        <v>412771.13999999996</v>
      </c>
    </row>
    <row r="43" spans="1:3" x14ac:dyDescent="0.3">
      <c r="A43" s="4" t="s">
        <v>21</v>
      </c>
      <c r="B43" s="23">
        <v>342108.93</v>
      </c>
    </row>
    <row r="44" spans="1:3" x14ac:dyDescent="0.3">
      <c r="A44" s="4" t="s">
        <v>27</v>
      </c>
      <c r="B44" s="23">
        <v>453883.06</v>
      </c>
    </row>
    <row r="45" spans="1:3" x14ac:dyDescent="0.3">
      <c r="A45" s="4" t="s">
        <v>28</v>
      </c>
      <c r="B45" s="23">
        <v>522872.17999999993</v>
      </c>
    </row>
    <row r="46" spans="1:3" x14ac:dyDescent="0.3">
      <c r="A46" s="4" t="s">
        <v>31</v>
      </c>
      <c r="B46" s="23">
        <v>464175.67000000016</v>
      </c>
    </row>
    <row r="47" spans="1:3" x14ac:dyDescent="0.3">
      <c r="A47" s="4" t="s">
        <v>10</v>
      </c>
      <c r="B47" s="23">
        <v>446848.92000000016</v>
      </c>
    </row>
    <row r="48" spans="1:3" x14ac:dyDescent="0.3">
      <c r="A48" s="4" t="s">
        <v>36</v>
      </c>
      <c r="B48" s="23">
        <v>5214767.9200000009</v>
      </c>
    </row>
  </sheetData>
  <mergeCells count="3">
    <mergeCell ref="A34:B34"/>
    <mergeCell ref="A19:B19"/>
    <mergeCell ref="A1:B1"/>
  </mergeCells>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C386D3-59C7-4ED4-BFFB-71F57D68FF0B}">
  <dimension ref="AB5:AQ31"/>
  <sheetViews>
    <sheetView tabSelected="1" topLeftCell="D5" zoomScale="72" zoomScaleNormal="72" workbookViewId="0">
      <selection activeCell="AH15" sqref="AH15"/>
    </sheetView>
  </sheetViews>
  <sheetFormatPr defaultRowHeight="14.4" x14ac:dyDescent="0.3"/>
  <cols>
    <col min="1" max="27" width="8.88671875" style="14"/>
    <col min="28" max="28" width="11.21875" style="14" customWidth="1"/>
    <col min="29" max="38" width="8.88671875" style="14"/>
    <col min="39" max="39" width="8.88671875" style="14" customWidth="1"/>
    <col min="40" max="42" width="8.88671875" style="14"/>
    <col min="43" max="43" width="17.88671875" style="14" customWidth="1"/>
    <col min="44" max="16384" width="8.88671875" style="14"/>
  </cols>
  <sheetData>
    <row r="5" spans="28:28" x14ac:dyDescent="0.3">
      <c r="AB5" s="15" t="e">
        <f>GETPIVOTDATA("Sales",#REF!)</f>
        <v>#REF!</v>
      </c>
    </row>
    <row r="18" spans="28:43" x14ac:dyDescent="0.3">
      <c r="AH18" s="14" t="s">
        <v>41</v>
      </c>
    </row>
    <row r="19" spans="28:43" x14ac:dyDescent="0.3">
      <c r="AQ19" s="18">
        <f>GETPIVOTDATA("Sales",'Pivot Table'!$A$20)</f>
        <v>5214767.919999999</v>
      </c>
    </row>
    <row r="21" spans="28:43" x14ac:dyDescent="0.3">
      <c r="AI21" s="22">
        <f>'Sheet1 (2)'!K4</f>
        <v>105.48</v>
      </c>
    </row>
    <row r="22" spans="28:43" x14ac:dyDescent="0.3">
      <c r="AM22" s="14">
        <f ca="1">AM22</f>
        <v>0</v>
      </c>
    </row>
    <row r="26" spans="28:43" x14ac:dyDescent="0.3">
      <c r="AN26" s="14">
        <f>MIN(Sheet6!D2:D1027)</f>
        <v>0</v>
      </c>
    </row>
    <row r="30" spans="28:43" x14ac:dyDescent="0.3">
      <c r="AM30" s="14" t="e" vm="1">
        <f>_xleta.MIN</f>
        <v>#VALUE!</v>
      </c>
    </row>
    <row r="31" spans="28:43" x14ac:dyDescent="0.3">
      <c r="AB31" s="14" t="s">
        <v>40</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DC547DE-64A4-4A26-88CD-C080416A683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 (2)</vt:lpstr>
      <vt:lpstr>Detail1</vt:lpstr>
      <vt:lpstr>Pivot Table</vt:lpstr>
      <vt:lpstr>Sheet6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ccgwx</dc:creator>
  <cp:lastModifiedBy>ccgwx</cp:lastModifiedBy>
  <dcterms:created xsi:type="dcterms:W3CDTF">2025-12-21T15:10:45Z</dcterms:created>
  <dcterms:modified xsi:type="dcterms:W3CDTF">2025-12-29T19:40:13Z</dcterms:modified>
</cp:coreProperties>
</file>